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rkshop Schedule (COPY ME)" sheetId="1" r:id="rId5"/>
    <sheet state="visible" name="Jennifer T Workshop Schedule" sheetId="2" r:id="rId6"/>
    <sheet state="visible" name="Isaac Buziba Workshop Schedule" sheetId="3" r:id="rId7"/>
    <sheet state="hidden" name="Engineer Hires" sheetId="4" r:id="rId8"/>
    <sheet state="visible" name="Engineer Access Checklist" sheetId="5" r:id="rId9"/>
    <sheet state="hidden" name="Engineering Resources" sheetId="6" r:id="rId10"/>
    <sheet state="visible" name="Resources" sheetId="7" r:id="rId11"/>
    <sheet state="hidden" name="Sashas Access Checklist" sheetId="8" r:id="rId12"/>
    <sheet state="hidden" name="Sashas Workshop Schedule" sheetId="9" r:id="rId13"/>
    <sheet state="hidden" name="Biancas Workshop Schedule" sheetId="10" r:id="rId14"/>
    <sheet state="hidden" name="Biancas Access Checklist" sheetId="11" r:id="rId15"/>
    <sheet state="hidden" name="Chris Ts Access Checklist" sheetId="12" r:id="rId16"/>
    <sheet state="hidden" name="Chris Ts Workshop Schedule " sheetId="13" r:id="rId17"/>
    <sheet state="hidden" name="Bettys Access Checklist" sheetId="14" r:id="rId18"/>
    <sheet state="hidden" name="Bettys Workshop Schedule" sheetId="15" r:id="rId19"/>
    <sheet state="hidden" name="Chris Access Checklist" sheetId="16" r:id="rId20"/>
    <sheet state="visible" name="Access Checklist (COPY ME)" sheetId="17" r:id="rId21"/>
    <sheet state="visible" name="Jennifer T Access Checklist" sheetId="18" r:id="rId22"/>
    <sheet state="hidden" name="Dans Access Checklist" sheetId="19" r:id="rId23"/>
    <sheet state="hidden" name="Dans Workshop Schedule" sheetId="20" r:id="rId24"/>
    <sheet state="hidden" name="Audrey Workshop Schedule" sheetId="21" r:id="rId25"/>
    <sheet state="hidden" name="Audrey Access Checklist" sheetId="22" r:id="rId26"/>
    <sheet state="hidden" name="Rachels Workshop Schedule" sheetId="23" r:id="rId27"/>
    <sheet state="hidden" name="Rachels Access Checklist" sheetId="24" r:id="rId28"/>
    <sheet state="hidden" name="Start Dates" sheetId="25" r:id="rId29"/>
    <sheet state="visible" name="Instructions for Managers" sheetId="26" r:id="rId30"/>
  </sheets>
  <definedNames>
    <definedName hidden="1" localSheetId="9" name="_xlnm._FilterDatabase">'Biancas Workshop Schedule'!$B$4:$N$35</definedName>
    <definedName hidden="1" localSheetId="14" name="_xlnm._FilterDatabase">'Bettys Workshop Schedule'!$B$4:$O$32</definedName>
    <definedName hidden="1" localSheetId="16" name="_xlnm._FilterDatabase">'Access Checklist (COPY ME)'!$B$3:$E$33</definedName>
    <definedName hidden="1" localSheetId="17" name="_xlnm._FilterDatabase">'Jennifer T Access Checklist'!$B$3:$E$33</definedName>
    <definedName hidden="1" localSheetId="19" name="_xlnm._FilterDatabase">'Dans Workshop Schedule'!$B$4:$O$33</definedName>
    <definedName hidden="1" localSheetId="20" name="_xlnm._FilterDatabase">'Audrey Workshop Schedule'!$A$3:$AE$34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tc={2d8c39ee-2646-4550-9741-539a98664464}</author>
    <author>tc={84dac167-fd26-4634-9f96-0386bc44ad39}</author>
    <author>tc={c9905bb7-01fe-4c01-a40e-431a237d8ffa}</author>
    <author>tc={cabb53e6-8c79-4221-b289-fad46cff30cb}</author>
  </authors>
  <commentList>
    <comment authorId="0" xr:uid="{2d8c39ee-2646-4550-9741-539a98664464}" ref="M8">
      <text>
        <t xml:space="preserve">[Threaded comment]
 Your version of Excel allows you to read this threaded comment; however, any edits to it will get removed if the file is opened in a newer version of Excel. Learn more: https://go.microsoft.com/fwlink/?linkid=870924
Comment:
	Should be replaced with appropriate BOAT view
</t>
      </text>
    </comment>
    <comment authorId="1" xr:uid="{84dac167-fd26-4634-9f96-0386bc44ad39}" ref="N10">
      <text>
        <t xml:space="preserve">[Threaded comment]
 Your version of Excel allows you to read this threaded comment; however, any edits to it will get removed if the file is opened in a newer version of Excel. Learn more: https://go.microsoft.com/fwlink/?linkid=870924
Comment:
	- Cut Example Walk through Ticket for live trafficking for training. 
- Cut Test Ticket, due the following week
- When cutting test ticket: Duplicate BOAT-T-04540 &amp; update title to include New Hire's Name. Also delete the ""Trainers CRS"" and keep the ""New Hire CRS"" with updated Dates"
</t>
      </text>
    </comment>
    <comment authorId="2" xr:uid="{c9905bb7-01fe-4c01-a40e-431a237d8ffa}" ref="A1">
      <text>
        <t xml:space="preserve">[Threaded comment]
 Your version of Excel allows you to read this threaded comment; however, any edits to it will get removed if the file is opened in a newer version of Excel. Learn more: https://go.microsoft.com/fwlink/?linkid=870924
Comment:
	@laura.davino@disneystreaming.com create 2 templatized tickets in airtable.
Assigned to laura.davino@disneystreaming.com
</t>
      </text>
    </comment>
    <comment authorId="3" xr:uid="{cabb53e6-8c79-4221-b289-fad46cff30cb}" ref="N10">
      <text>
        <t xml:space="preserve">[Threaded comment]
 Your version of Excel allows you to read this threaded comment; however, any edits to it will get removed if the file is opened in a newer version of Excel. Learn more: https://go.microsoft.com/fwlink/?linkid=870924
Comment:
	Could we just use this as a template for both trainer and trainee since we may not always need the trainer one assuming we have a "Live" ticket to walk through for training?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tc={9556ef1f-b707-4090-8934-cfcace8dd34a}</author>
    <author>tc={af0edc1e-3ba3-4bb6-b148-1db96f2c77bb}</author>
  </authors>
  <commentList>
    <comment authorId="0" xr:uid="{9556ef1f-b707-4090-8934-cfcace8dd34a}" ref="B58">
      <text>
        <t xml:space="preserve">[Threaded comment]
 Your version of Excel allows you to read this threaded comment; however, any edits to it will get removed if the file is opened in a newer version of Excel. Learn more: https://go.microsoft.com/fwlink/?linkid=870924
Comment:
	@elizabeth.mak@disneystreaming.com &amp; I to go through our cals and adjust these
</t>
      </text>
    </comment>
    <comment authorId="1" xr:uid="{af0edc1e-3ba3-4bb6-b148-1db96f2c77bb}" ref="B61">
      <text>
        <t xml:space="preserve">[Threaded comment]
 Your version of Excel allows you to read this threaded comment; however, any edits to it will get removed if the file is opened in a newer version of Excel. Learn more: https://go.microsoft.com/fwlink/?linkid=870924
Comment:
	@carlton.clemens@disneystreaming.com could you add Bianca to these?
Assigned to carlton.clemens@disneystreaming.com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tc={20bdf5ea-38a0-4fd3-b5db-0b28bd5dc82c}</author>
    <author>tc={abb31e59-29ce-4154-9bd0-e9c046e72fab}</author>
    <author>tc={c8c4cf86-42a7-4684-98ba-13ecf19050f3}</author>
  </authors>
  <commentList>
    <comment authorId="0" xr:uid="{20bdf5ea-38a0-4fd3-b5db-0b28bd5dc82c}" ref="L18">
      <text>
        <t xml:space="preserve">[Threaded comment]
 Your version of Excel allows you to read this threaded comment; however, any edits to it will get removed if the file is opened in a newer version of Excel. Learn more: https://go.microsoft.com/fwlink/?linkid=870924
Comment:
	@kim.tran@disneystreaming.com add network setup slide
Assigned to kim.tran@disneystreaming.com
</t>
      </text>
    </comment>
    <comment authorId="1" xr:uid="{abb31e59-29ce-4154-9bd0-e9c046e72fab}" ref="A1">
      <text>
        <t xml:space="preserve">[Threaded comment]
 Your version of Excel allows you to read this threaded comment; however, any edits to it will get removed if the file is opened in a newer version of Excel. Learn more: https://go.microsoft.com/fwlink/?linkid=870924
Comment:
	@kim.tran@disneystreaming.com move over edits to template
Assigned to kim.tran@disneystreaming.com
</t>
      </text>
    </comment>
    <comment authorId="2" xr:uid="{c8c4cf86-42a7-4684-98ba-13ecf19050f3}" ref="B27">
      <text>
        <t xml:space="preserve">[Threaded comment]
 Your version of Excel allows you to read this threaded comment; however, any edits to it will get removed if the file is opened in a newer version of Excel. Learn more: https://go.microsoft.com/fwlink/?linkid=870924
Comment:
	@kim.tran@disneystreaming.com to create
Assigned to kim.tran@disneystreaming.com
</t>
      </text>
    </comment>
  </commentList>
</comments>
</file>

<file path=xl/sharedStrings.xml><?xml version="1.0" encoding="utf-8"?>
<sst xmlns="http://schemas.openxmlformats.org/spreadsheetml/2006/main" count="3955" uniqueCount="893">
  <si>
    <t>START DATE</t>
  </si>
  <si>
    <r>
      <rPr>
        <rFont val="Montserrat"/>
        <b/>
        <color rgb="FF1155CC"/>
        <sz val="8.0"/>
        <u/>
      </rPr>
      <t xml:space="preserve">Zoom Link
</t>
    </r>
    <r>
      <rPr>
        <rFont val="Montserrat"/>
        <b/>
        <sz val="8.0"/>
      </rPr>
      <t>Work Email:</t>
    </r>
  </si>
  <si>
    <t>New Hire's Name Workshop Schedule</t>
  </si>
  <si>
    <t>Workshop</t>
  </si>
  <si>
    <t>Invite Sent?</t>
  </si>
  <si>
    <t>Week</t>
  </si>
  <si>
    <t>Day</t>
  </si>
  <si>
    <t>Date</t>
  </si>
  <si>
    <t>Duration</t>
  </si>
  <si>
    <t>Time Start</t>
  </si>
  <si>
    <t>Time End</t>
  </si>
  <si>
    <t>Lead</t>
  </si>
  <si>
    <t>Support</t>
  </si>
  <si>
    <t>Coverage</t>
  </si>
  <si>
    <t>Materials/Notes</t>
  </si>
  <si>
    <t>Test Ticket Link (Replace)</t>
  </si>
  <si>
    <t>Intended Audience</t>
  </si>
  <si>
    <t>Buddy Intro &amp; Onboarding Kickoff</t>
  </si>
  <si>
    <t>30 Min</t>
  </si>
  <si>
    <t>Buddy</t>
  </si>
  <si>
    <t>- Buddy Introduction
- Resources Tab
- Ensure new hire has hired all the extensions under Essential Trafficking Tools
- Add new hire to all slack channels</t>
  </si>
  <si>
    <t>Resources Tab</t>
  </si>
  <si>
    <t>N/A</t>
  </si>
  <si>
    <t>All</t>
  </si>
  <si>
    <t xml:space="preserve">Intro to DSS/Teams we Work With </t>
  </si>
  <si>
    <t>- PPT Attached</t>
  </si>
  <si>
    <t>Ad Ops 101</t>
  </si>
  <si>
    <t>Intro to AirTable and Ticket Types</t>
  </si>
  <si>
    <t>- Walk through Airtable platform &amp; Views
- Cover highlights from the PPT attached
- Run through how to fill out a ticket form</t>
  </si>
  <si>
    <r>
      <rPr>
        <rFont val="Montserrat"/>
        <color rgb="FF1155CC"/>
        <sz val="8.0"/>
        <u/>
      </rPr>
      <t>Intro to Airtable and Ticket Types</t>
    </r>
    <r>
      <rPr>
        <rFont val="Montserrat"/>
        <sz val="8.0"/>
      </rPr>
      <t xml:space="preserve">
</t>
    </r>
    <r>
      <rPr>
        <rFont val="Montserrat"/>
        <color rgb="FF1155CC"/>
        <sz val="8.0"/>
        <u/>
      </rPr>
      <t>AirTable Training Guide Comprehensive</t>
    </r>
  </si>
  <si>
    <t>Overview of Current Projects</t>
  </si>
  <si>
    <t>Hiring Manager</t>
  </si>
  <si>
    <t>- Cover important project Tickets</t>
  </si>
  <si>
    <t>Airtable projects</t>
  </si>
  <si>
    <t>Intro to IAS</t>
  </si>
  <si>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</si>
  <si>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IAS Wiki</t>
  </si>
  <si>
    <t>P-levels</t>
  </si>
  <si>
    <t>Intro to Display Trafficking (1/2)</t>
  </si>
  <si>
    <t>60 Min</t>
  </si>
  <si>
    <t>- Create TEST New Campaign Ticket for Lead to walk through 
- Live Traffic New Campaign Ticket
- Walk through how IAS works in CM &amp; Use IAS TEST Campaign from previous training
- Create different New Campaign/New Placement for New Hire to traffic
- see comment in the test ticket cell.</t>
  </si>
  <si>
    <t>Intro to Display Trafficking</t>
  </si>
  <si>
    <t>Trainer Template</t>
  </si>
  <si>
    <t>Working with Tech</t>
  </si>
  <si>
    <t>- Ad Ops Homepage
- Ad Ops Tech Requests channel
- How to work with the Tech Team</t>
  </si>
  <si>
    <t>Engineering Overview</t>
  </si>
  <si>
    <t>Working with a PM</t>
  </si>
  <si>
    <t>- How to work with the PM Team</t>
  </si>
  <si>
    <t>QA Display Ticket</t>
  </si>
  <si>
    <t xml:space="preserve">- Walk throught the PTQAT
- Fully QA the Display Test Ticket and have trafficker make edits during session
- If new hire is comfortable, give the OK to start picking up tickets </t>
  </si>
  <si>
    <t>P1-P3</t>
  </si>
  <si>
    <t>Nuanced Display Training - YouTube (1/2)</t>
  </si>
  <si>
    <t>- YouTube Trafficking Trainer Ticket
- Assign YouTube Trainee Ticket
- Masthead YouTube 
- Smartly Tickets</t>
  </si>
  <si>
    <t>Intro to YouTube</t>
  </si>
  <si>
    <t>Nuanced Display Training - Smartly</t>
  </si>
  <si>
    <t>- Walk through trafficking differences
- Walk through QA differences
- Creative Merges</t>
  </si>
  <si>
    <r>
      <rPr>
        <rFont val="Montserrat"/>
        <color rgb="FF1155CC"/>
        <sz val="8.0"/>
        <u/>
      </rPr>
      <t>Smartly Campaign Brief</t>
    </r>
    <r>
      <rPr>
        <rFont val="Montserrat"/>
        <sz val="8.0"/>
      </rPr>
      <t xml:space="preserve">
</t>
    </r>
    <r>
      <rPr>
        <rFont val="Montserrat"/>
        <color rgb="FF1155CC"/>
        <sz val="8.0"/>
        <u/>
      </rPr>
      <t>Smartly Workflow</t>
    </r>
  </si>
  <si>
    <t>Reference existing Smartly Tickets</t>
  </si>
  <si>
    <t>Buddy Check In 2</t>
  </si>
  <si>
    <t>- How are the trainings going?
- Do you need access to certain platforms?
- What tickets are you interested in?</t>
  </si>
  <si>
    <t>Intro to Floodlights &amp; CM Reporting</t>
  </si>
  <si>
    <t>- What is a Floodlight?
- How to create a floodlight
- How to run a report</t>
  </si>
  <si>
    <r>
      <rPr>
        <rFont val="Montserrat"/>
        <color rgb="FF1155CC"/>
        <sz val="8.0"/>
        <u/>
      </rPr>
      <t>Floodlight Wiki</t>
    </r>
    <r>
      <rPr>
        <rFont val="Montserrat"/>
        <sz val="8.0"/>
      </rPr>
      <t xml:space="preserve">
</t>
    </r>
    <r>
      <rPr>
        <rFont val="Montserrat"/>
        <color rgb="FF1155CC"/>
        <sz val="8.0"/>
        <u/>
      </rPr>
      <t>Floodlight Powerpoint</t>
    </r>
  </si>
  <si>
    <t>Intro to Kochava</t>
  </si>
  <si>
    <t>- What is Kochava?
- How do we use it?
- Check in on Trainee's Kochava access and follow up on access request if necessary</t>
  </si>
  <si>
    <t>Kochava Wiki
Kochava 101</t>
  </si>
  <si>
    <t>P2-P4</t>
  </si>
  <si>
    <t>Kochava Trafficking (1/2)</t>
  </si>
  <si>
    <t>45 Min</t>
  </si>
  <si>
    <t>- Walk through Trainer Ticket
- Assign Test Ticket</t>
  </si>
  <si>
    <r>
      <rPr>
        <rFont val="Montserrat"/>
        <color rgb="FF1155CC"/>
        <sz val="8.0"/>
        <u/>
      </rPr>
      <t>Trainer Template
(Optional) Test Ticket without CM Trafficking portion
(Optional) Installs Reporting Ticket</t>
    </r>
    <r>
      <rPr>
        <rFont val="Montserrat"/>
        <sz val="8.0"/>
      </rPr>
      <t xml:space="preserve">
</t>
    </r>
    <r>
      <rPr>
        <rFont val="Montserrat"/>
        <color rgb="FF1155CC"/>
        <sz val="8.0"/>
        <u/>
      </rPr>
      <t>(Optional) Event Reporting Ticket</t>
    </r>
  </si>
  <si>
    <t>Product Offering Walk Through</t>
  </si>
  <si>
    <t>- Cover the brands &amp; bundles</t>
  </si>
  <si>
    <t>New Primary Validation Doc
Product Offering</t>
  </si>
  <si>
    <t>QAing YouTube  Display Ticket (2/2)</t>
  </si>
  <si>
    <t xml:space="preserve">- Walk through QAing the trainee's ticket. </t>
  </si>
  <si>
    <t>Intro to Adobe Launch</t>
  </si>
  <si>
    <r>
      <rPr>
        <rFont val="Montserrat"/>
        <sz val="8.0"/>
      </rPr>
      <t xml:space="preserve">- Walk through the Adobe Site
- Walk through Adobe </t>
    </r>
    <r>
      <rPr>
        <rFont val="Montserrat"/>
        <color rgb="FF1155CC"/>
        <sz val="8.0"/>
        <u/>
      </rPr>
      <t>Wiki</t>
    </r>
    <r>
      <rPr>
        <rFont val="Montserrat"/>
        <sz val="8.0"/>
      </rPr>
      <t xml:space="preserve"> &amp; Common Processes
- Checkin on trainee's adobe access and follow up on access request if necessary</t>
    </r>
  </si>
  <si>
    <t>Adobe Launch</t>
  </si>
  <si>
    <t>MLP and Commerce Flow QA</t>
  </si>
  <si>
    <t>- Walk through the example of checking All Pages and 1 Commerce flow
- Assign the test ticket for new hire to check an MLP and 1 commerce flow</t>
  </si>
  <si>
    <t>MLP &amp; Commerce QA</t>
  </si>
  <si>
    <r>
      <rPr>
        <rFont val="Montserrat"/>
        <sz val="8.0"/>
      </rPr>
      <t xml:space="preserve">MLP QA - </t>
    </r>
    <r>
      <rPr>
        <rFont val="Montserrat"/>
        <color rgb="FF1155CC"/>
        <sz val="8.0"/>
        <u/>
      </rPr>
      <t xml:space="preserve">Trainee Ticket
</t>
    </r>
    <r>
      <rPr>
        <rFont val="Montserrat"/>
        <sz val="8.0"/>
      </rPr>
      <t xml:space="preserve">(Optional) </t>
    </r>
    <r>
      <rPr>
        <rFont val="Montserrat"/>
        <color rgb="FF1155CC"/>
        <sz val="8.0"/>
        <u/>
      </rPr>
      <t>Commerce Flow Training</t>
    </r>
  </si>
  <si>
    <t>Studio Awareness Tagging Walk Through</t>
  </si>
  <si>
    <t xml:space="preserve">- Walk through the Studio Tagging Wiki
- Walk through the set up in Adobe
- If a studio tagging ticket is available, walk through it, otherwise, have the trainee shadow at a later time. </t>
  </si>
  <si>
    <t>Studio Tagging Wiki</t>
  </si>
  <si>
    <r>
      <rPr>
        <rFont val="Montserrat"/>
        <color rgb="FF1155CC"/>
        <sz val="8.0"/>
        <u/>
      </rPr>
      <t>Studio Tagging Example Ticket</t>
    </r>
    <r>
      <rPr>
        <rFont val="Montserrat"/>
        <sz val="8.0"/>
      </rPr>
      <t xml:space="preserve">
</t>
    </r>
    <r>
      <rPr>
        <rFont val="Montserrat"/>
        <color rgb="FF1155CC"/>
        <sz val="8.0"/>
        <u/>
      </rPr>
      <t>Push to Prod Example Ticket</t>
    </r>
  </si>
  <si>
    <t>EVE Trafficking</t>
  </si>
  <si>
    <t>- Walk through the trainer EVE ticket</t>
  </si>
  <si>
    <t>BOAT x EVE Guide</t>
  </si>
  <si>
    <t>QA Kochava Ticket 2/2</t>
  </si>
  <si>
    <t>- QA Ticket with Trainee and have trainee make edits in session if necessary</t>
  </si>
  <si>
    <t>Server-to-Server Integrations</t>
  </si>
  <si>
    <t>TBD</t>
  </si>
  <si>
    <t>Shah</t>
  </si>
  <si>
    <t>Maurice / Kim</t>
  </si>
  <si>
    <t>Non-trafficking items/what these things are/what we use them for/who owns them:
- Current S2S integrations
- Roadmap
- Teams we work with: DSI/DFS</t>
  </si>
  <si>
    <t>S2S Integrations</t>
  </si>
  <si>
    <t>P3+</t>
  </si>
  <si>
    <t>Buddy Check In 2 (30 Day)</t>
  </si>
  <si>
    <t>- What tickets are you comfortable with trafficking? 
- Buddy to follow up in later weeks to inquire about QA.</t>
  </si>
  <si>
    <t>Platform Pulling Reporting</t>
  </si>
  <si>
    <t>Buddy Check in 3 (60 Day)</t>
  </si>
  <si>
    <t>X</t>
  </si>
  <si>
    <t>Buddy/Manager Check - In (60 Day)</t>
  </si>
  <si>
    <t>Buddy Check in 4 (90 Day)</t>
  </si>
  <si>
    <r>
      <rPr>
        <rFont val="Montserrat"/>
        <b/>
        <color rgb="FF1155CC"/>
        <sz val="8.0"/>
        <u/>
      </rPr>
      <t xml:space="preserve">
</t>
    </r>
    <r>
      <rPr>
        <rFont val="Montserrat"/>
        <b/>
        <sz val="8.0"/>
      </rPr>
      <t xml:space="preserve">Work Email: Jennifer.Tran2@disney.com </t>
    </r>
  </si>
  <si>
    <t>Laura</t>
  </si>
  <si>
    <t>n/a</t>
  </si>
  <si>
    <t>- Buddy Introduction
- Resources Tab
- Ensure new hire has hired all the extensions under Essential Trafficking Tools
- Add new hire to all teams channels</t>
  </si>
  <si>
    <t>Ken</t>
  </si>
  <si>
    <t>Betty/Chris C.</t>
  </si>
  <si>
    <t>Jamie</t>
  </si>
  <si>
    <r>
      <rPr>
        <rFont val="Montserrat"/>
        <color rgb="FF1155CC"/>
        <sz val="8.0"/>
        <u/>
      </rPr>
      <t>Intro to Airtable and Ticket Types</t>
    </r>
    <r>
      <rPr>
        <rFont val="Montserrat"/>
        <sz val="8.0"/>
      </rPr>
      <t xml:space="preserve">
</t>
    </r>
    <r>
      <rPr>
        <rFont val="Montserrat"/>
        <color rgb="FF1155CC"/>
        <sz val="8.0"/>
        <u/>
      </rPr>
      <t>AirTable Training Guide Comprehensive</t>
    </r>
  </si>
  <si>
    <t>Laila</t>
  </si>
  <si>
    <t>Sasha</t>
  </si>
  <si>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</si>
  <si>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Rachel</t>
  </si>
  <si>
    <t>Craig</t>
  </si>
  <si>
    <t>Carlton</t>
  </si>
  <si>
    <t>Dan</t>
  </si>
  <si>
    <t>Elizabeth, Rachel</t>
  </si>
  <si>
    <r>
      <rPr>
        <rFont val="Montserrat"/>
        <color rgb="FF1155CC"/>
        <sz val="8.0"/>
        <u/>
      </rPr>
      <t>Smartly Campaign Brief</t>
    </r>
    <r>
      <rPr>
        <rFont val="Montserrat"/>
        <sz val="8.0"/>
      </rPr>
      <t xml:space="preserve">
</t>
    </r>
    <r>
      <rPr>
        <rFont val="Montserrat"/>
        <color rgb="FF1155CC"/>
        <sz val="8.0"/>
        <u/>
      </rPr>
      <t>Smartly Workflow</t>
    </r>
  </si>
  <si>
    <t>Betty</t>
  </si>
  <si>
    <t>Rachel, Michael</t>
  </si>
  <si>
    <r>
      <rPr>
        <rFont val="Montserrat"/>
        <color rgb="FF1155CC"/>
        <sz val="8.0"/>
        <u/>
      </rPr>
      <t>Floodlight Wiki</t>
    </r>
    <r>
      <rPr>
        <rFont val="Montserrat"/>
        <sz val="8.0"/>
      </rPr>
      <t xml:space="preserve">
</t>
    </r>
    <r>
      <rPr>
        <rFont val="Montserrat"/>
        <color rgb="FF1155CC"/>
        <sz val="8.0"/>
        <u/>
      </rPr>
      <t>Floodlight Powerpoint
How to pull a CM360 Report</t>
    </r>
  </si>
  <si>
    <t>Michael</t>
  </si>
  <si>
    <t>Dan/Chris C.</t>
  </si>
  <si>
    <t>Chris C.</t>
  </si>
  <si>
    <r>
      <rPr>
        <rFont val="Montserrat"/>
        <color rgb="FF1155CC"/>
        <sz val="8.0"/>
        <u/>
      </rPr>
      <t>Trainer Template
(Optional) Test Ticket without CM Trafficking portion
(Optional) Installs Reporting Ticket</t>
    </r>
    <r>
      <rPr>
        <rFont val="Montserrat"/>
        <sz val="8.0"/>
      </rPr>
      <t xml:space="preserve">
</t>
    </r>
    <r>
      <rPr>
        <rFont val="Montserrat"/>
        <color rgb="FF1155CC"/>
        <sz val="8.0"/>
        <u/>
      </rPr>
      <t>(Optional) Event Reporting Ticket</t>
    </r>
  </si>
  <si>
    <t>Rachel / Kim</t>
  </si>
  <si>
    <r>
      <rPr>
        <rFont val="Montserrat"/>
        <sz val="8.0"/>
      </rPr>
      <t xml:space="preserve">- Walk through the Adobe Site
- Walk through Adobe </t>
    </r>
    <r>
      <rPr>
        <rFont val="Montserrat"/>
        <color rgb="FF1155CC"/>
        <sz val="8.0"/>
        <u/>
      </rPr>
      <t>Wiki</t>
    </r>
    <r>
      <rPr>
        <rFont val="Montserrat"/>
        <sz val="8.0"/>
      </rPr>
      <t xml:space="preserve"> &amp; Common Processes
- Checkin on trainee's adobe access and follow up on access request if necessary</t>
    </r>
  </si>
  <si>
    <t>MLP and Commerce Flow QA/Promos</t>
  </si>
  <si>
    <r>
      <rPr>
        <rFont val="Montserrat"/>
        <sz val="8.0"/>
      </rPr>
      <t xml:space="preserve">MLP QA - </t>
    </r>
    <r>
      <rPr>
        <rFont val="Montserrat"/>
        <color rgb="FF1155CC"/>
        <sz val="8.0"/>
        <u/>
      </rPr>
      <t xml:space="preserve">Trainee Ticket
</t>
    </r>
    <r>
      <rPr>
        <rFont val="Montserrat"/>
        <sz val="8.0"/>
      </rPr>
      <t xml:space="preserve">(Optional) </t>
    </r>
    <r>
      <rPr>
        <rFont val="Montserrat"/>
        <color rgb="FF1155CC"/>
        <sz val="8.0"/>
        <u/>
      </rPr>
      <t>Commerce Flow Training</t>
    </r>
  </si>
  <si>
    <r>
      <rPr>
        <rFont val="Montserrat"/>
        <color rgb="FF1155CC"/>
        <sz val="8.0"/>
        <u/>
      </rPr>
      <t>Studio Tagging Example Ticket</t>
    </r>
    <r>
      <rPr>
        <rFont val="Montserrat"/>
        <sz val="8.0"/>
      </rPr>
      <t xml:space="preserve">
</t>
    </r>
    <r>
      <rPr>
        <rFont val="Montserrat"/>
        <color rgb="FF1155CC"/>
        <sz val="8.0"/>
        <u/>
      </rPr>
      <t>Push to Prod Example Ticket</t>
    </r>
  </si>
  <si>
    <t>Workback Schedule</t>
  </si>
  <si>
    <t>M360 Crosswalk</t>
  </si>
  <si>
    <t>AdOps | Media360 Crosswalk Updates &amp; Data Conversions Review Process</t>
  </si>
  <si>
    <t>@</t>
  </si>
  <si>
    <r>
      <rPr>
        <rFont val="Montserrat"/>
        <b/>
        <color rgb="FF1155CC"/>
        <sz val="8.0"/>
        <u/>
      </rPr>
      <t xml:space="preserve">Zoom Link
</t>
    </r>
    <r>
      <rPr>
        <rFont val="Montserrat"/>
        <b/>
        <sz val="8.0"/>
      </rPr>
      <t>Work Email: Isaac.Buziba.-ND@disney.com</t>
    </r>
  </si>
  <si>
    <t>Isaac Buziba's Workshop Schedule</t>
  </si>
  <si>
    <t xml:space="preserve">Laila </t>
  </si>
  <si>
    <r>
      <rPr>
        <rFont val="Montserrat"/>
        <color rgb="FF1155CC"/>
        <sz val="8.0"/>
        <u/>
      </rPr>
      <t>Intro to Airtable and Ticket Types</t>
    </r>
    <r>
      <rPr>
        <rFont val="Montserrat"/>
        <sz val="8.0"/>
      </rPr>
      <t xml:space="preserve">
</t>
    </r>
    <r>
      <rPr>
        <rFont val="Montserrat"/>
        <color rgb="FF1155CC"/>
        <sz val="8.0"/>
        <u/>
      </rPr>
      <t>AirTable Training Guide Comprehensive</t>
    </r>
  </si>
  <si>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</si>
  <si>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Chris</t>
  </si>
  <si>
    <r>
      <rPr>
        <rFont val="Montserrat"/>
        <color rgb="FF1155CC"/>
        <sz val="8.0"/>
        <u/>
      </rPr>
      <t>Floodlight Wiki</t>
    </r>
    <r>
      <rPr>
        <rFont val="Montserrat"/>
        <sz val="8.0"/>
      </rPr>
      <t xml:space="preserve">
</t>
    </r>
    <r>
      <rPr>
        <rFont val="Montserrat"/>
        <color rgb="FF1155CC"/>
        <sz val="8.0"/>
        <u/>
      </rPr>
      <t>Floodlight Powerpoint</t>
    </r>
  </si>
  <si>
    <r>
      <rPr>
        <rFont val="Montserrat"/>
        <sz val="8.0"/>
      </rPr>
      <t xml:space="preserve">- Walk through the Adobe Site
- Walk through Adobe </t>
    </r>
    <r>
      <rPr>
        <rFont val="Montserrat"/>
        <color rgb="FF1155CC"/>
        <sz val="8.0"/>
        <u/>
      </rPr>
      <t>Wiki</t>
    </r>
    <r>
      <rPr>
        <rFont val="Montserrat"/>
        <sz val="8.0"/>
      </rPr>
      <t xml:space="preserve"> &amp; Common Processes
- Checkin on trainee's adobe access and follow up on access request if necessary</t>
    </r>
  </si>
  <si>
    <r>
      <rPr>
        <rFont val="Montserrat"/>
        <sz val="8.0"/>
      </rPr>
      <t xml:space="preserve">MLP QA - </t>
    </r>
    <r>
      <rPr>
        <rFont val="Montserrat"/>
        <color rgb="FF1155CC"/>
        <sz val="8.0"/>
        <u/>
      </rPr>
      <t xml:space="preserve">Trainee Ticket
</t>
    </r>
    <r>
      <rPr>
        <rFont val="Montserrat"/>
        <sz val="8.0"/>
      </rPr>
      <t xml:space="preserve">(Optional) </t>
    </r>
    <r>
      <rPr>
        <rFont val="Montserrat"/>
        <color rgb="FF1155CC"/>
        <sz val="8.0"/>
        <u/>
      </rPr>
      <t>Commerce Flow Training</t>
    </r>
  </si>
  <si>
    <r>
      <rPr>
        <rFont val="Montserrat"/>
        <b/>
        <color rgb="FF1155CC"/>
        <sz val="8.0"/>
        <u/>
      </rPr>
      <t xml:space="preserve">Zoom Link
</t>
    </r>
    <r>
      <rPr>
        <rFont val="Montserrat"/>
        <b/>
        <sz val="8.0"/>
      </rPr>
      <t>Work Email:</t>
    </r>
  </si>
  <si>
    <t>Tech Hire's Workshop Schedule</t>
  </si>
  <si>
    <t>Buddy - Craig</t>
  </si>
  <si>
    <t>- Buddy Introduction
- Resources Tab
- Add new hire to all slack channels</t>
  </si>
  <si>
    <t>Maurice</t>
  </si>
  <si>
    <r>
      <rPr>
        <rFont val="Montserrat"/>
        <color rgb="FF1155CC"/>
        <sz val="8.0"/>
        <u/>
      </rPr>
      <t>Intro to Airtable and Ticket Types</t>
    </r>
    <r>
      <rPr>
        <rFont val="Montserrat"/>
        <sz val="8.0"/>
      </rPr>
      <t xml:space="preserve">
</t>
    </r>
    <r>
      <rPr>
        <rFont val="Montserrat"/>
        <color rgb="FF1155CC"/>
        <sz val="8.0"/>
        <u/>
      </rPr>
      <t>AirTable Training Guide Comprehensive</t>
    </r>
  </si>
  <si>
    <t>- Engineering Projects Only</t>
  </si>
  <si>
    <t>Airtable projects
Slide Deck</t>
  </si>
  <si>
    <t>Engineer's Access Checklist</t>
  </si>
  <si>
    <t>Platform/Item</t>
  </si>
  <si>
    <t>Owner</t>
  </si>
  <si>
    <t>Details</t>
  </si>
  <si>
    <t>Notes</t>
  </si>
  <si>
    <t>tbd</t>
  </si>
  <si>
    <r>
      <rPr>
        <rFont val="Montserrat"/>
        <i/>
        <color theme="1"/>
        <sz val="8.0"/>
      </rPr>
      <t>Pre-Hire:</t>
    </r>
    <r>
      <rPr>
        <rFont val="Montserrat"/>
        <color theme="1"/>
        <sz val="8.0"/>
      </rPr>
      <t xml:space="preserve"> Reach out to New Hire (FTE) or request info from agency (Contractor)</t>
    </r>
  </si>
  <si>
    <t>Request headshot for badge and preference between Mac or PC.</t>
  </si>
  <si>
    <t>In Progress</t>
  </si>
  <si>
    <r>
      <rPr>
        <rFont val="Montserrat"/>
        <i/>
        <color theme="1"/>
        <sz val="8.0"/>
      </rPr>
      <t xml:space="preserve">Pre-Hire: </t>
    </r>
    <r>
      <rPr>
        <rFont val="Montserrat"/>
        <color theme="1"/>
        <sz val="8.0"/>
      </rPr>
      <t>Request Disney Email/LAN</t>
    </r>
  </si>
  <si>
    <r>
      <rPr>
        <rFont val="Montserrat"/>
        <color rgb="FF1155CC"/>
        <sz val="8.0"/>
        <u/>
      </rPr>
      <t>Request Network ID</t>
    </r>
    <r>
      <rPr>
        <rFont val="Montserrat"/>
        <sz val="8.0"/>
      </rPr>
      <t xml:space="preserve">. Must have Backstage Pass and be designated as a manager position in Disney's system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</si>
  <si>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i/>
        <color theme="1"/>
        <sz val="8.0"/>
      </rPr>
      <t>Pre-Hire:</t>
    </r>
    <r>
      <rPr>
        <rFont val="Montserrat"/>
        <color theme="1"/>
        <sz val="8.0"/>
      </rPr>
      <t xml:space="preserve"> Hardware Equipment</t>
    </r>
  </si>
  <si>
    <r>
      <rPr>
        <rFont val="Montserrat"/>
        <color rgb="FF1155CC"/>
        <sz val="8.0"/>
        <u/>
      </rPr>
      <t>DToolsIT</t>
    </r>
    <r>
      <rPr>
        <rFont val="Montserrat"/>
        <sz val="8.0"/>
      </rPr>
      <t>. A IT member will reach out for details and software requirements. Ticket watcher allowed.</t>
    </r>
  </si>
  <si>
    <r>
      <rPr>
        <rFont val="Montserrat"/>
        <i/>
        <color theme="1"/>
        <sz val="8.0"/>
      </rPr>
      <t xml:space="preserve">Pre-Hire: </t>
    </r>
    <r>
      <rPr>
        <rFont val="Montserrat"/>
        <color theme="1"/>
        <sz val="8.0"/>
      </rPr>
      <t>Blue Badge Request
Contractor - reach out to Global Security
FTE - Send headshot to Vanesa C. (Talent Acq Coordinator)</t>
    </r>
  </si>
  <si>
    <r>
      <rPr>
        <rFont val="Montserrat"/>
        <color rgb="FF1155CC"/>
        <sz val="8.0"/>
        <u/>
      </rPr>
      <t>Disney Global Security</t>
    </r>
    <r>
      <rPr>
        <rFont val="Montserrat"/>
        <sz val="8.0"/>
      </rPr>
      <t>. Complete form and upload headshot. No ticket watcher allowed.</t>
    </r>
  </si>
  <si>
    <t>Backlog</t>
  </si>
  <si>
    <r>
      <rPr>
        <rFont val="Montserrat"/>
        <i/>
        <color theme="1"/>
        <sz val="8.0"/>
      </rPr>
      <t>Pre-Hire:</t>
    </r>
    <r>
      <rPr>
        <rFont val="Montserrat"/>
        <color theme="1"/>
        <sz val="8.0"/>
      </rPr>
      <t xml:space="preserve"> 7 Hudson </t>
    </r>
  </si>
  <si>
    <t>Reach out to Nini or Alex Engram from Workplace Experience with hire name, title, PERNR, manager's name, email address, and a headshot</t>
  </si>
  <si>
    <r>
      <rPr>
        <rFont val="Montserrat"/>
        <i/>
        <color theme="1"/>
        <sz val="8.0"/>
      </rPr>
      <t>Pre-Hire:</t>
    </r>
    <r>
      <rPr>
        <rFont val="Montserrat"/>
        <color theme="1"/>
        <sz val="8.0"/>
      </rPr>
      <t xml:space="preserve"> Remote Access Request</t>
    </r>
  </si>
  <si>
    <r>
      <rPr>
        <rFont val="Montserrat"/>
        <color rgb="FF1155CC"/>
        <sz val="8.0"/>
        <u/>
      </rPr>
      <t>Backstage Pass</t>
    </r>
    <r>
      <rPr>
        <rFont val="Montserrat"/>
        <sz val="8.0"/>
      </rPr>
      <t xml:space="preserve">. Ticket watcher allowed. Contractors: </t>
    </r>
    <r>
      <rPr>
        <rFont val="Montserrat"/>
        <color rgb="FF1155CC"/>
        <sz val="8.0"/>
        <u/>
      </rPr>
      <t>Request Application Access - US/Domestic</t>
    </r>
    <r>
      <rPr>
        <rFont val="Montserrat"/>
        <sz val="8.0"/>
      </rPr>
      <t xml:space="preserve"> and select OTHERS -- Global Protect Access
</t>
    </r>
  </si>
  <si>
    <r>
      <rPr>
        <rFont val="Montserrat"/>
        <i/>
        <color theme="1"/>
        <sz val="8.0"/>
      </rPr>
      <t>Pre-Hire:</t>
    </r>
    <r>
      <rPr>
        <rFont val="Montserrat"/>
        <color theme="1"/>
        <sz val="8.0"/>
      </rPr>
      <t xml:space="preserve"> Disney Streaming account</t>
    </r>
  </si>
  <si>
    <r>
      <rPr>
        <rFont val="Montserrat"/>
        <sz val="8.0"/>
      </rPr>
      <t xml:space="preserve">Recommended to visit IT in-office on New Hire's first day Request via: </t>
    </r>
    <r>
      <rPr>
        <rFont val="Montserrat"/>
        <color rgb="FF1155CC"/>
        <sz val="8.0"/>
        <u/>
      </rPr>
      <t>https://disney.service-now.com/dtoolsitsp?id=sc_cat_item&amp;sys_id=dd08ac41877b86d0e46c53d73cbb3590</t>
    </r>
  </si>
  <si>
    <t>Unsure if this is still needed</t>
  </si>
  <si>
    <r>
      <rPr>
        <rFont val="Montserrat"/>
        <sz val="8.0"/>
      </rPr>
      <t xml:space="preserve">Cut </t>
    </r>
    <r>
      <rPr>
        <rFont val="Montserrat"/>
        <color rgb="FF1155CC"/>
        <sz val="8.0"/>
        <u/>
      </rPr>
      <t>ticket</t>
    </r>
    <r>
      <rPr>
        <rFont val="Montserrat"/>
        <sz val="8.0"/>
      </rPr>
      <t xml:space="preserve"> for new hire to review </t>
    </r>
    <r>
      <rPr>
        <rFont val="Montserrat"/>
        <color rgb="FF1155CC"/>
        <sz val="8.0"/>
        <u/>
      </rPr>
      <t>the Paid Media New Hire slide deck</t>
    </r>
  </si>
  <si>
    <t>The Paid Media New Hire slide deck</t>
  </si>
  <si>
    <t>Completed</t>
  </si>
  <si>
    <t>GlobalProtect or Extranet VPN Access</t>
  </si>
  <si>
    <t>New Hire</t>
  </si>
  <si>
    <r>
      <rPr>
        <rFont val="Montserrat"/>
        <sz val="8.0"/>
      </rPr>
      <t xml:space="preserve">Download Global Protect from Self Service (on Mac).  </t>
    </r>
    <r>
      <rPr>
        <rFont val="Montserrat"/>
        <color rgb="FF1155CC"/>
        <sz val="8.0"/>
        <u/>
      </rPr>
      <t xml:space="preserve">Request Application Access </t>
    </r>
    <r>
      <rPr>
        <rFont val="Montserrat"/>
        <sz val="8.0"/>
      </rPr>
      <t xml:space="preserve">- US/Domestic and select OTHERS -- Global Protect Access. Third party: </t>
    </r>
    <r>
      <rPr>
        <rFont val="Montserrat"/>
        <color rgb="FF1155CC"/>
        <sz val="8.0"/>
        <u/>
      </rPr>
      <t>Extranet</t>
    </r>
  </si>
  <si>
    <t>Appspace</t>
  </si>
  <si>
    <t>Reach out to Randall Booker via Teams</t>
  </si>
  <si>
    <t>Team Member Onboarding Form</t>
  </si>
  <si>
    <r>
      <rPr>
        <rFont val="Montserrat"/>
        <sz val="8.0"/>
      </rPr>
      <t xml:space="preserve">Fill out the </t>
    </r>
    <r>
      <rPr>
        <rFont val="Montserrat"/>
        <color rgb="FF1155CC"/>
        <sz val="8.0"/>
        <u/>
      </rPr>
      <t>Team Member Onboarding Form</t>
    </r>
    <r>
      <rPr>
        <rFont val="Montserrat"/>
        <sz val="8.0"/>
      </rPr>
      <t xml:space="preserve"> (via the "Ad Ops Team Directory (AOTD)" [Airtable] base).</t>
    </r>
  </si>
  <si>
    <t>TWDC Enterprise Platforms Access Request (for Contractors &amp; PGD personnel)</t>
  </si>
  <si>
    <t>Info</t>
  </si>
  <si>
    <t>Add to relevant email aliases / distros</t>
  </si>
  <si>
    <t>PM Team</t>
  </si>
  <si>
    <r>
      <rPr>
        <rFont val="Montserrat"/>
        <color rgb="FF1155CC"/>
        <sz val="8.0"/>
        <u/>
      </rPr>
      <t>GroupID info</t>
    </r>
    <r>
      <rPr>
        <rFont val="Montserrat"/>
        <color rgb="FF000000"/>
        <sz val="8.0"/>
      </rPr>
      <t xml:space="preserve"> (see step 3 of the "Employee Onboarding Instructions" [extension]).</t>
    </r>
  </si>
  <si>
    <t>Forward (Outlook) event invites</t>
  </si>
  <si>
    <t>Add to / forward reocurring [Outlook] event / calendar invites.</t>
  </si>
  <si>
    <t>Add to relevant Teams channels</t>
  </si>
  <si>
    <t>PM Team &amp; Buddy</t>
  </si>
  <si>
    <t xml:space="preserve">Buddy to follow up on the Teams channels mentioned in the Resources Tab. </t>
  </si>
  <si>
    <t>CM360</t>
  </si>
  <si>
    <t>Grant access w/i CM360.</t>
  </si>
  <si>
    <t>Airtable (/ BOAT Club)</t>
  </si>
  <si>
    <r>
      <rPr>
        <rFont val="Montserrat"/>
        <sz val="8.0"/>
      </rPr>
      <t xml:space="preserve">Request Airtable account via </t>
    </r>
    <r>
      <rPr>
        <rFont val="Montserrat"/>
        <color rgb="FF1155CC"/>
        <sz val="8.0"/>
        <u/>
      </rPr>
      <t>SNOW</t>
    </r>
    <r>
      <rPr>
        <rFont val="Montserrat"/>
        <sz val="8.0"/>
      </rPr>
      <t>. Click "Share" at the top righthand corner of the BOAT, inviting them to such — and to the "BOAT Club" (which includes our "Ad Ops Team Directory (AOTD)" [Airtable] base) — w/ "Editor" access/permissions.</t>
    </r>
  </si>
  <si>
    <t>IAS</t>
  </si>
  <si>
    <t xml:space="preserve">Email IAS POCs with the new hire's (TWDC) email address requesting access on their behalf. </t>
  </si>
  <si>
    <t>EVE</t>
  </si>
  <si>
    <r>
      <rPr>
        <rFont val="Montserrat"/>
        <sz val="8.0"/>
      </rPr>
      <t xml:space="preserve">Add their DS email address as a (prod) EVE user </t>
    </r>
    <r>
      <rPr>
        <rFont val="Montserrat"/>
        <color rgb="FF1155CC"/>
        <sz val="8.0"/>
        <u/>
      </rPr>
      <t>here</t>
    </r>
    <r>
      <rPr>
        <rFont val="Montserrat"/>
        <sz val="8.0"/>
      </rPr>
      <t xml:space="preserve">. </t>
    </r>
  </si>
  <si>
    <t>All Display Platforms (DSS Programmatic Platforms: Global Login Requests &amp; Prisma Access)</t>
  </si>
  <si>
    <t>Cut a ticket for the Display team.</t>
  </si>
  <si>
    <t>All Social Platforms (Facebook, Snapchat, TikTok)</t>
  </si>
  <si>
    <t>Cut a ticket for the Social team.</t>
  </si>
  <si>
    <t>All Search Platforms (Google Ads, Microsoft Ads)</t>
  </si>
  <si>
    <t>Cut a ticket for the Search team.</t>
  </si>
  <si>
    <t>Affiliate Platfrom (impact)</t>
  </si>
  <si>
    <t>Reach out to Nick Ranelle for access to Impact</t>
  </si>
  <si>
    <t>Kochava</t>
  </si>
  <si>
    <r>
      <rPr>
        <rFont val="Montserrat"/>
        <sz val="8.0"/>
      </rPr>
      <t xml:space="preserve">Details at bottom of this </t>
    </r>
    <r>
      <rPr>
        <rFont val="Montserrat"/>
        <color rgb="FF1155CC"/>
        <sz val="8.0"/>
        <u/>
      </rPr>
      <t>wiki</t>
    </r>
    <r>
      <rPr>
        <rFont val="Montserrat"/>
        <sz val="8.0"/>
      </rPr>
      <t xml:space="preserve">. </t>
    </r>
  </si>
  <si>
    <t>Access via SSO now</t>
  </si>
  <si>
    <t>Message Shah Bari for Access.</t>
  </si>
  <si>
    <t>Ensure new hire understands Resources Tab.</t>
  </si>
  <si>
    <t>Test Credit Cards (if access does not work already)</t>
  </si>
  <si>
    <r>
      <rPr>
        <rFont val="Montserrat"/>
        <sz val="8.0"/>
      </rPr>
      <t xml:space="preserve">Email AtlassianSupport@disneystreaming.com for access to </t>
    </r>
    <r>
      <rPr>
        <rFont val="Montserrat"/>
        <color rgb="FF1155CC"/>
        <sz val="8.0"/>
        <u/>
      </rPr>
      <t>Payment Test Cards For End to End Testing</t>
    </r>
  </si>
  <si>
    <t>PayPal (if access does not work already)</t>
  </si>
  <si>
    <r>
      <rPr>
        <rFont val="Montserrat"/>
        <sz val="8.0"/>
      </rPr>
      <t xml:space="preserve">Email AtlassianSupport@disneystreaming.com for access to </t>
    </r>
    <r>
      <rPr>
        <rFont val="Montserrat"/>
        <color rgb="FF1155CC"/>
        <sz val="8.0"/>
        <u/>
      </rPr>
      <t>Paypal International Testing</t>
    </r>
  </si>
  <si>
    <t>Github (Unified and Hulu Pipelines)</t>
  </si>
  <si>
    <t>HM and New Hire</t>
  </si>
  <si>
    <r>
      <rPr>
        <rFont val="Montserrat"/>
        <color rgb="FF1155CC"/>
        <sz val="8.0"/>
        <u/>
      </rPr>
      <t xml:space="preserve">https://confluence.disney.com/display/PRODPLAT/GitHub+Getting+Started
</t>
    </r>
    <r>
      <rPr>
        <rFont val="Montserrat"/>
        <sz val="8.0"/>
      </rPr>
      <t xml:space="preserve">https://github.twdcgrid.net/orgs/AdOperations/teams/advertising-operations
</t>
    </r>
    <r>
      <rPr>
        <rFont val="Montserrat"/>
        <color rgb="FF1155CC"/>
        <sz val="8.0"/>
        <u/>
      </rPr>
      <t>https://github.prod.hulu.com/</t>
    </r>
    <r>
      <rPr>
        <rFont val="Montserrat"/>
        <sz val="8.0"/>
      </rPr>
      <t xml:space="preserve"> (Pipeline repos)
Grant access in dodgeball and </t>
    </r>
    <r>
      <rPr>
        <rFont val="Montserrat"/>
        <color rgb="FF1155CC"/>
        <sz val="8.0"/>
        <u/>
      </rPr>
      <t>add to ad operations team</t>
    </r>
    <r>
      <rPr>
        <rFont val="Montserrat"/>
        <sz val="8.0"/>
      </rPr>
      <t xml:space="preserve">
</t>
    </r>
    <r>
      <rPr>
        <rFont val="Montserrat"/>
        <color rgb="FF1155CC"/>
        <sz val="8.0"/>
        <u/>
      </rPr>
      <t>https://confluence.disney.com/display/PRODPLAT/Add+SSH+public+key+to+GitHub</t>
    </r>
  </si>
  <si>
    <t>Add to AdOperations Team in TWDC</t>
  </si>
  <si>
    <t>Confluence Access</t>
  </si>
  <si>
    <r>
      <rPr>
        <color rgb="FF1155CC"/>
        <sz val="8.0"/>
        <u/>
      </rPr>
      <t xml:space="preserve">https://confluence.disney.com/display/PMAO/Paid+Media+Ad+Ops+Home
https://confluence.disney.com/display/dimgdolprodops/Confluence+Access
</t>
    </r>
    <r>
      <rPr>
        <color rgb="FF1155CC"/>
        <sz val="8.0"/>
        <u/>
      </rPr>
      <t>Set up edit access for user(s) via "Space Tools" then "Permissions"</t>
    </r>
  </si>
  <si>
    <t>Admin access to computer / Python3 / PIP</t>
  </si>
  <si>
    <r>
      <rPr>
        <rFont val="Montserrat"/>
        <sz val="8.0"/>
      </rPr>
      <t xml:space="preserve">Disney Self-service has the Admin On Demand icon to gain the Local Admin Access temporarily.
</t>
    </r>
    <r>
      <rPr>
        <rFont val="Montserrat"/>
        <color rgb="FF1155CC"/>
        <sz val="8.0"/>
        <u/>
      </rPr>
      <t>Instructions for Mac</t>
    </r>
    <r>
      <rPr>
        <rFont val="Montserrat"/>
        <sz val="8.0"/>
      </rPr>
      <t xml:space="preserve">: </t>
    </r>
    <r>
      <rPr>
        <rFont val="Montserrat"/>
        <color rgb="FF1155CC"/>
        <sz val="8.0"/>
        <u/>
      </rPr>
      <t xml:space="preserve">
Instructions for Windows</t>
    </r>
    <r>
      <rPr>
        <rFont val="Montserrat"/>
        <sz val="8.0"/>
      </rPr>
      <t xml:space="preserve">
</t>
    </r>
    <r>
      <rPr>
        <rFont val="Montserrat"/>
        <color rgb="FF1155CC"/>
        <sz val="8.0"/>
        <u/>
      </rPr>
      <t>Instructions for Linux</t>
    </r>
  </si>
  <si>
    <t>Jenkins</t>
  </si>
  <si>
    <r>
      <rPr>
        <rFont val="Montserrat"/>
        <sz val="8.0"/>
      </rPr>
      <t xml:space="preserve">Relies on SSO Access. </t>
    </r>
    <r>
      <rPr>
        <rFont val="Montserrat"/>
        <color rgb="FF1155CC"/>
        <sz val="8.0"/>
        <u/>
      </rPr>
      <t>https://jenkins-central.global.twdcgrid.net/</t>
    </r>
  </si>
  <si>
    <t>Spinnaker</t>
  </si>
  <si>
    <r>
      <rPr>
        <rFont val="Montserrat"/>
        <sz val="8.0"/>
      </rPr>
      <t xml:space="preserve">Relies on SSO Access. Test access with: </t>
    </r>
    <r>
      <rPr>
        <rFont val="Montserrat"/>
        <color rgb="FF1155CC"/>
        <sz val="8.0"/>
        <u/>
      </rPr>
      <t>https://spinnaker.prod.hulu.com/#/applications/taxonomy/executions</t>
    </r>
  </si>
  <si>
    <t>Kubernetes</t>
  </si>
  <si>
    <r>
      <rPr>
        <rFont val="Montserrat"/>
        <sz val="8.0"/>
      </rPr>
      <t xml:space="preserve">Test access with: </t>
    </r>
    <r>
      <rPr>
        <rFont val="Montserrat"/>
        <color rgb="FF1155CC"/>
        <sz val="8.0"/>
        <u/>
      </rPr>
      <t>https://k8s-dashboard-cp2-prod.us-east-1.dpegrid.net/</t>
    </r>
  </si>
  <si>
    <t xml:space="preserve">Dodgeball </t>
  </si>
  <si>
    <r>
      <rPr>
        <rFont val="Montserrat"/>
        <color rgb="FF1155CC"/>
        <sz val="8.0"/>
        <u/>
      </rPr>
      <t>Add to the necessary groups</t>
    </r>
    <r>
      <rPr>
        <rFont val="Montserrat"/>
        <sz val="8.0"/>
      </rPr>
      <t xml:space="preserve">: 
AdOpsTeam
AWSAdOpsTeamAccess
Github_logins
Will eventually be migrated to </t>
    </r>
    <r>
      <rPr>
        <rFont val="Montserrat"/>
        <color rgb="FF1155CC"/>
        <sz val="8.0"/>
        <u/>
      </rPr>
      <t>https://dodgeball.twdcgrid.net/</t>
    </r>
  </si>
  <si>
    <t>Items which the AdOps Team can add via dodgeball</t>
  </si>
  <si>
    <t>Other Accounts (Confirm in Dodgeball)</t>
  </si>
  <si>
    <r>
      <rPr>
        <rFont val="Montserrat"/>
        <sz val="8.0"/>
      </rPr>
      <t xml:space="preserve">Airtable-Users
Atlassian-Confluence
AWSReadOnlyAccessTeamAccess
Datadog_Standard_Role
Devs
DSS-Userbase
Hulu_Okta_Active_License
HuluTeam
OKTA-Conviva_DS
Okta-DS-AutoActivate
OKTA-Jira
OKTA-Superset_Access
Pagerduty_Users
ReadOnlyAccessTeam
Sailpoint_CPS_Employees
StagingReadOnlyAccessTeam
YellowpagesDSSServiceEarlyAccess
YellowpageTeamManagers
Will eventually be migrated to </t>
    </r>
    <r>
      <rPr>
        <rFont val="Montserrat"/>
        <color rgb="FF1155CC"/>
        <sz val="8.0"/>
        <u/>
      </rPr>
      <t>https://dodgeball.twdcgrid.net/</t>
    </r>
  </si>
  <si>
    <t>Items in dodgeball that are added elsewhere</t>
  </si>
  <si>
    <t>AWS / YellowPages Team</t>
  </si>
  <si>
    <t>https://confluence.disney.com/pages/viewpage.action?pageId=1202542071
https://confluence.disney.com/pages/viewpage.action?pageId=1472185568</t>
  </si>
  <si>
    <t>Service Now Approval / Support Group</t>
  </si>
  <si>
    <t>Add users to apv-nybamtech-ds-paid-med</t>
  </si>
  <si>
    <t>Disney Entertainment Dev Portal</t>
  </si>
  <si>
    <r>
      <rPr>
        <rFont val="Montserrat"/>
        <color rgb="FF000000"/>
        <sz val="8.0"/>
      </rPr>
      <t xml:space="preserve">Relies on SSO Access. </t>
    </r>
    <r>
      <rPr>
        <rFont val="Montserrat"/>
        <color rgb="FF1155CC"/>
        <sz val="8.0"/>
        <u/>
      </rPr>
      <t>https://portal.twdcgrid.net/home</t>
    </r>
  </si>
  <si>
    <t xml:space="preserve">Homebrew / DevX CLI  </t>
  </si>
  <si>
    <t>https://portal.twdcgrid.net/devxcli/documentation</t>
  </si>
  <si>
    <t>Adding Public Keys to Dodgeball and Github</t>
  </si>
  <si>
    <r>
      <rPr>
        <rFont val="Montserrat"/>
        <color rgb="FF1155CC"/>
        <sz val="8.0"/>
        <u/>
      </rPr>
      <t>https://confluence.disney.com/display/PRODPLAT/Add+SSH+public+key+to+GitHub</t>
    </r>
    <r>
      <rPr>
        <rFont val="Montserrat"/>
        <sz val="8.0"/>
      </rPr>
      <t xml:space="preserve">
https://confluence.disney.com/display/PRODPLAT/How+to+Upload+a+Public+Key+in+Dodgeball</t>
    </r>
  </si>
  <si>
    <t>Google Platform Access</t>
  </si>
  <si>
    <t>https://disney.service-now.com/dtoolsitsp?id=sc_cat_item&amp;sys_id=1c4941bf4f07d2406a659ffd0210c753
https://disney.service-now.com/dtoolsitsp?id=sc_cat_item&amp;sys_id=3d2227c2875b0214e46c53d73cbb358f</t>
  </si>
  <si>
    <t>More Info</t>
  </si>
  <si>
    <r>
      <rPr>
        <rFont val="Montserrat"/>
        <sz val="8.0"/>
      </rPr>
      <t xml:space="preserve">Onboarding </t>
    </r>
    <r>
      <rPr>
        <rFont val="Montserrat"/>
        <color rgb="FF1155CC"/>
        <sz val="8.0"/>
        <u/>
      </rPr>
      <t>Info</t>
    </r>
  </si>
  <si>
    <t>To Add:</t>
  </si>
  <si>
    <t>Databricks</t>
  </si>
  <si>
    <t>Access Manager</t>
  </si>
  <si>
    <t>Pagerduty</t>
  </si>
  <si>
    <t>1Password</t>
  </si>
  <si>
    <t>https://disney.service-now.com/dtoolsitsp?id=sc_cat_item&amp;sys_id=74420f9d87b5ced8e46c53d73cbb3568</t>
  </si>
  <si>
    <t>https://confluence.disney.com/spaces/MSSE/pages/1928280447/How+To+-+Access+Disney+1password</t>
  </si>
  <si>
    <t>Engineering Standards</t>
  </si>
  <si>
    <t>https://portal.twdcgrid.net/tools/engineering-standards-be5d0848-8295-4f92-be5c-c9a525e2738f/tool</t>
  </si>
  <si>
    <t>Updating Webhook permissions in Teams</t>
  </si>
  <si>
    <t>SSH</t>
  </si>
  <si>
    <t>BN</t>
  </si>
  <si>
    <t>BS</t>
  </si>
  <si>
    <t>Category</t>
  </si>
  <si>
    <t>Important Links</t>
  </si>
  <si>
    <t>Airtable Basics</t>
  </si>
  <si>
    <t>BOAT (Base of Ad Tags) [Airtable base]</t>
  </si>
  <si>
    <t>Tickets/requests submitted by Ad Ops and other teams</t>
  </si>
  <si>
    <t>Airtable Training Guide</t>
  </si>
  <si>
    <t>Thorough walkthrough of everything Airtable</t>
  </si>
  <si>
    <t>Existing BOAT Ticket Duplication Form (EBTDF)</t>
  </si>
  <si>
    <t>Duplicate an existing BOAT Ticket</t>
  </si>
  <si>
    <t>New BOAT Ticket Form (NBTF)</t>
  </si>
  <si>
    <t>Create a new BOAT Ticket</t>
  </si>
  <si>
    <t>Tools</t>
  </si>
  <si>
    <t>AdOps Home Page</t>
  </si>
  <si>
    <t>All the tools our AdOps tech team runs, such as the Taxonomy Check</t>
  </si>
  <si>
    <t>Confluence Tools Page</t>
  </si>
  <si>
    <t>A listing of the current AdOps Tooling with relevant information and links</t>
  </si>
  <si>
    <t>Misc.</t>
  </si>
  <si>
    <t>AdOps Wiki</t>
  </si>
  <si>
    <t>Trafficking and Resource 101</t>
  </si>
  <si>
    <t>Seat Reservation</t>
  </si>
  <si>
    <t>Disney+TaxBuilder</t>
  </si>
  <si>
    <t xml:space="preserve">Where the Paid Media teams build the placement/creative taxonomy. Refer to this if the CRS does not pass taxonomy. </t>
  </si>
  <si>
    <t>VPN Access Guide</t>
  </si>
  <si>
    <t>Step by step of setting up your VPN</t>
  </si>
  <si>
    <t>Google Drive Important Documents</t>
  </si>
  <si>
    <t>AdOps Slack Channels</t>
  </si>
  <si>
    <t>#theopps</t>
  </si>
  <si>
    <t>Whole Ad Ops Team</t>
  </si>
  <si>
    <t>#adops-tech-alerts</t>
  </si>
  <si>
    <t>Testing and health messages</t>
  </si>
  <si>
    <t>#adops-tech-requests</t>
  </si>
  <si>
    <t>Sending / Receiving Engineering Updates to / from stakeholders</t>
  </si>
  <si>
    <t>#dss-adops-ctv</t>
  </si>
  <si>
    <t>AdOps &amp; CTV</t>
  </si>
  <si>
    <t>#dss-adops-display</t>
  </si>
  <si>
    <t>AdOps &amp; Display</t>
  </si>
  <si>
    <t>#dss-adops-mlp</t>
  </si>
  <si>
    <t>AdOps &amp; MLP</t>
  </si>
  <si>
    <t>#dss-adops-pgd</t>
  </si>
  <si>
    <t>AdOps &amp; PGD Trafficking Team</t>
  </si>
  <si>
    <t>#dss-adops-search</t>
  </si>
  <si>
    <t>AdOps &amp; Search</t>
  </si>
  <si>
    <t xml:space="preserve">#dss-adops-social </t>
  </si>
  <si>
    <t>AdOps &amp; Social</t>
  </si>
  <si>
    <t>#growth-marketing</t>
  </si>
  <si>
    <t>Growth Marketing Team</t>
  </si>
  <si>
    <t>#dss-general</t>
  </si>
  <si>
    <t>Company updates/Discussion</t>
  </si>
  <si>
    <t>#paidmedia-kochava</t>
  </si>
  <si>
    <t>Paid Media Kochava Discussion</t>
  </si>
  <si>
    <t>#boat-development</t>
  </si>
  <si>
    <t>Airtable base discussions</t>
  </si>
  <si>
    <t>#sentinel-alerts-espn (ESPN to be fully deprecated after teams migration)</t>
  </si>
  <si>
    <t>#dss-adops-dailyplatformreporting</t>
  </si>
  <si>
    <t>Channel for daily reporting</t>
  </si>
  <si>
    <t>#mediamonks-eve-tool</t>
  </si>
  <si>
    <t>Collaboration for EVE tool</t>
  </si>
  <si>
    <t>#paid-adops-teams</t>
  </si>
  <si>
    <t>All Paid Media AdOps Teams</t>
  </si>
  <si>
    <t>#certvault-support</t>
  </si>
  <si>
    <t>For help with creating / modifying certificates</t>
  </si>
  <si>
    <t>#cloud-acct-mgmt</t>
  </si>
  <si>
    <t>AWS Assistance</t>
  </si>
  <si>
    <t>#gis-secarch-cnapp</t>
  </si>
  <si>
    <t xml:space="preserve">GIS Security Architecture CNAPP Team Slack Channel. CNAPP as a platform combines multiple cloud security capabilities into one solution.
</t>
  </si>
  <si>
    <t>#github-jenkins-consolidation</t>
  </si>
  <si>
    <t>Discussion with Build &amp; Release regarding migration to our new unified GitHub and unified Jenkins services</t>
  </si>
  <si>
    <t>#infra</t>
  </si>
  <si>
    <t>Engage #noc-hulu for production impacting issues. FAQ - http://h.prod.hulu.com/infra-faq     Team Wiki - https://wiki.disneystreaming.com/display/CLOUD/Infrastructure+Engineering</t>
  </si>
  <si>
    <t>#netadmin-support</t>
  </si>
  <si>
    <t>https://confluence.disney.com/display/DSSNE/Network+Infrastructure+Home</t>
  </si>
  <si>
    <t>#software-engineering</t>
  </si>
  <si>
    <t>General SE channel</t>
  </si>
  <si>
    <t>#sysops-support</t>
  </si>
  <si>
    <t>Identity Management, Github, etc</t>
  </si>
  <si>
    <t>#twdc-python</t>
  </si>
  <si>
    <t>General Python Channel</t>
  </si>
  <si>
    <t>#build-deploy-support</t>
  </si>
  <si>
    <t>Deployment team and CI/CD help. 
For general CI/CD questions. For Build|Deploy service support use /cloud. Please check pinned messages.
For Jenkins, Artifactory, and other build services: @oncall-build
For Mariner, Spinnaker, and other deploy services: @oncall-deploy</t>
  </si>
  <si>
    <t>#cyclops</t>
  </si>
  <si>
    <t>Type /cloud in any channel to start a thread!
Messages without /cloud threads are not monitored
NEW PLATFORM + AWS ACCOUNT SUPPORT</t>
  </si>
  <si>
    <t>#dev-productivity</t>
  </si>
  <si>
    <t>On-call: @oncall-dev-productivity
Discussions, announcements, and questions regarding Developer Productivity products including the Dev Portal, Margaret, Devx-CLI and Ask.</t>
  </si>
  <si>
    <t>#aws-general</t>
  </si>
  <si>
    <t>General AWS Discussions</t>
  </si>
  <si>
    <t>#github-support</t>
  </si>
  <si>
    <t>Github Support Channel</t>
  </si>
  <si>
    <t>#looker-developers</t>
  </si>
  <si>
    <t>Assistance with Looker. This is a channel where DSTR Data peers who use Looker can offer assistance and/or where more technical questions can be asked.</t>
  </si>
  <si>
    <t>#developer-platform-discussion</t>
  </si>
  <si>
    <t>The Developer Platform includes infrastructure, tools, &amp; products that support teams to build, deploy, and operate the workloads that power DEE applications. This channel is meant for announcements and discussion.</t>
  </si>
  <si>
    <t>#enterprise-design-system</t>
  </si>
  <si>
    <t>This is a support channel for EDS design and engineering users.
See the channel's canvas for links and other info</t>
  </si>
  <si>
    <t>#pagerduty</t>
  </si>
  <si>
    <t>#community-airtable</t>
  </si>
  <si>
    <t>Airtable Discussion</t>
  </si>
  <si>
    <t>General/Optional Channels</t>
  </si>
  <si>
    <t>#ny-office</t>
  </si>
  <si>
    <t>Local NY Information</t>
  </si>
  <si>
    <t>#dtools-it</t>
  </si>
  <si>
    <t>IT Alerts</t>
  </si>
  <si>
    <t>#bunsen-and-beakers-lab</t>
  </si>
  <si>
    <t>IT Troubleshooting</t>
  </si>
  <si>
    <t>#disney-benefits</t>
  </si>
  <si>
    <t>Benefits updates / Q&amp;A</t>
  </si>
  <si>
    <t>#disney-perks-tips</t>
  </si>
  <si>
    <t>Disney Parks, Perks, and Tips</t>
  </si>
  <si>
    <t>#tech-at-disney</t>
  </si>
  <si>
    <t>TIG Network is The Walt Disney Studios' internal hub for tech innovation news, events, and resources — fostering collaboration among technologists and inspiring employees across the company.</t>
  </si>
  <si>
    <t>#jeta</t>
  </si>
  <si>
    <r>
      <rPr>
        <rFont val="Montserrat"/>
        <sz val="8.0"/>
      </rPr>
      <t xml:space="preserve">Welcome to Jedi Engineering Training Academy (JETA)!              Event schedule and videos of previous events can be found at </t>
    </r>
    <r>
      <rPr>
        <rFont val="Montserrat"/>
        <color rgb="FF1155CC"/>
        <sz val="8.0"/>
        <u/>
      </rPr>
      <t>https://jedi.disney.com</t>
    </r>
  </si>
  <si>
    <t>#dss-diversity</t>
  </si>
  <si>
    <t>Overall DEI channel</t>
  </si>
  <si>
    <t>#dmed-the-melanin-collective</t>
  </si>
  <si>
    <t>DMED's BERG focused on the Black experience</t>
  </si>
  <si>
    <t>#dmed-hapi</t>
  </si>
  <si>
    <t>DMED's berg focused on Hapa, Asian, and Pacific Islander experience</t>
  </si>
  <si>
    <t>#dmed-enabled</t>
  </si>
  <si>
    <t>DMED's berg focused on disability and a11y (accessibility)</t>
  </si>
  <si>
    <t>#dmed-latimas</t>
  </si>
  <si>
    <t>DMED's berg focused on Latinx/Hispanic experience</t>
  </si>
  <si>
    <t>#disney-pride</t>
  </si>
  <si>
    <t>Pride channel</t>
  </si>
  <si>
    <t>#dmed-veterans-united</t>
  </si>
  <si>
    <t>DMED Veterans BERG</t>
  </si>
  <si>
    <t>#shalom</t>
  </si>
  <si>
    <t>TWDC Jewish Affinity Group</t>
  </si>
  <si>
    <t xml:space="preserve">#disney-naatv </t>
  </si>
  <si>
    <t>TWDC Native American and Allies</t>
  </si>
  <si>
    <t>##salaam-muslimsatdisney</t>
  </si>
  <si>
    <t>Muslims at Disney</t>
  </si>
  <si>
    <t>Reoccuring Meetings</t>
  </si>
  <si>
    <t>Engineering Standup</t>
  </si>
  <si>
    <t>Tuesday - Weekly meeting with Engineering, Director, and PM</t>
  </si>
  <si>
    <t>Ad Ops Weekly Stand Up</t>
  </si>
  <si>
    <t>Monday - Weekly Ad Ops meeting with whole team</t>
  </si>
  <si>
    <t>Ad Ops Bi-Monthly Retro</t>
  </si>
  <si>
    <t>First Wednesday of every other month to review the past couple months</t>
  </si>
  <si>
    <t>Affiliate x Ad Ops Bi-Weekly Sync</t>
  </si>
  <si>
    <t>Every other Wednesday</t>
  </si>
  <si>
    <t>PGD Weekly Standup</t>
  </si>
  <si>
    <t>Thursday - Chance to review with our PGD team. The whole Associates team does not need to join, only the person leading that weeks Specialist Meeting</t>
  </si>
  <si>
    <t>Social x Ad Ops Bi-Weekly Sync</t>
  </si>
  <si>
    <t>Every other Thursday</t>
  </si>
  <si>
    <t>Display x Ad OPs Bi-Weekly Sync</t>
  </si>
  <si>
    <t>DSS x Kochava Weekly Sync</t>
  </si>
  <si>
    <t>Friday</t>
  </si>
  <si>
    <t>SSO Links for Platforms</t>
  </si>
  <si>
    <t xml:space="preserve">Display </t>
  </si>
  <si>
    <t>Yahoo</t>
  </si>
  <si>
    <t>Amazon</t>
  </si>
  <si>
    <t>Prisma</t>
  </si>
  <si>
    <t>Social</t>
  </si>
  <si>
    <t>Meta/FB</t>
  </si>
  <si>
    <t>Snapchat</t>
  </si>
  <si>
    <t>TikTok</t>
  </si>
  <si>
    <t>Search</t>
  </si>
  <si>
    <t>GoogleAds</t>
  </si>
  <si>
    <t>Bing</t>
  </si>
  <si>
    <t>Affiliates</t>
  </si>
  <si>
    <t>Impact</t>
  </si>
  <si>
    <r>
      <rPr>
        <rFont val="Montserrat"/>
        <sz val="8.0"/>
      </rPr>
      <t xml:space="preserve">Welcome to Jedi Engineering Training Academy (JETA)!              Event schedule and videos of previous events can be found at </t>
    </r>
    <r>
      <rPr>
        <rFont val="Montserrat"/>
        <color rgb="FF1155CC"/>
        <sz val="8.0"/>
        <u/>
      </rPr>
      <t>https://jedi.disney.com</t>
    </r>
  </si>
  <si>
    <t>CT</t>
  </si>
  <si>
    <t>Trafficking</t>
  </si>
  <si>
    <t>HTML5 Validator</t>
  </si>
  <si>
    <t>Checks if the HTML file is valid. Please use this before trafficking HTML5s.</t>
  </si>
  <si>
    <t>IAS SSO</t>
  </si>
  <si>
    <t>Single Sign On Link for Integral Ad Science</t>
  </si>
  <si>
    <t>Mobile Attribution Measurement Tool</t>
  </si>
  <si>
    <t xml:space="preserve">Smartly Campaign Brief </t>
  </si>
  <si>
    <t>Used for QAing Smartly Tickets</t>
  </si>
  <si>
    <t>Marketing Pixels</t>
  </si>
  <si>
    <t>Web Tag Manager</t>
  </si>
  <si>
    <t>Payment Test Cards</t>
  </si>
  <si>
    <t>Testing Credit Card Numbers for QAing</t>
  </si>
  <si>
    <t>Paypal Testing</t>
  </si>
  <si>
    <t>PayPal Logins for QA Testing</t>
  </si>
  <si>
    <t>3DS/SCA Country List</t>
  </si>
  <si>
    <t>Certain countries require the magic value key on the CC testing page, to find out if you need the magic key, you will look up the country and move to the 3ds/sca column to look for a "Y" or a "N" If it is a "Y" you will need to use one of the following values 3DS_V1_CHALLENGE_IDENTIFIED - Challenge with successful transaction
3DS_V1_NOT_ENROLLED - No challenge, failed transaction33DS_V1_NOT_ENROLLED
3DS_V2_FRICTIONLESS_IDENTIFIED - No challenge, successful transaction
3DS_V2_FRICTIONLESS_FAILED - No challenge, failed transaction
3DS_V2_CHALLENGE_IDENTIFIED - Challenge with successful transaction 
3DS_V2_AUTHENTICATION_ERROR - No challenge, failed transaction</t>
  </si>
  <si>
    <t>Stage Web</t>
  </si>
  <si>
    <t>Disney Staging Site</t>
  </si>
  <si>
    <t>Essential Trafficking Tools</t>
  </si>
  <si>
    <t>Please Download all extensions and bookmark all sites mentioned</t>
  </si>
  <si>
    <t>Associate Meeting Notes for Ad Ops' Weekly Team Standup</t>
  </si>
  <si>
    <t>Associate Projects/Concerns/shoutouts</t>
  </si>
  <si>
    <t>PGD Standup &amp; Error Tracker</t>
  </si>
  <si>
    <t xml:space="preserve">Doc used for PGD standup, shoutouts, and tracking errors. </t>
  </si>
  <si>
    <t>Google Drive Folder of Trafficking Docs</t>
  </si>
  <si>
    <t xml:space="preserve">Blank Templates &amp; Docs Necessary for trafficking. </t>
  </si>
  <si>
    <t>Primary Validation Doc</t>
  </si>
  <si>
    <t>GSheet that hosts all our marketing pixels</t>
  </si>
  <si>
    <t>Onboarding</t>
  </si>
  <si>
    <t>Folder with all onboarding materials</t>
  </si>
  <si>
    <t>Teams Channels</t>
  </si>
  <si>
    <t>The Ops</t>
  </si>
  <si>
    <t>Traffic Jam</t>
  </si>
  <si>
    <t>Specialists and Coordinators</t>
  </si>
  <si>
    <t>Mini Minions</t>
  </si>
  <si>
    <t>Specialists and Coordinators + Kim &amp; Ken</t>
  </si>
  <si>
    <t>#sandwich-makers</t>
  </si>
  <si>
    <t>Specilaists and Coordinators + Project Managers</t>
  </si>
  <si>
    <t>Ad Ops Technical Requests</t>
  </si>
  <si>
    <t xml:space="preserve">Tech Team/Taxonomy Site Oriented </t>
  </si>
  <si>
    <t>X-Team - Ad Ops x CTV</t>
  </si>
  <si>
    <t>X-Team - Ad Ops X DAV</t>
  </si>
  <si>
    <t>X-Team - Ad Ops X MLP</t>
  </si>
  <si>
    <t>X-Team - Ad Ops X PGD</t>
  </si>
  <si>
    <t>X-Team - Ad Ops x Search</t>
  </si>
  <si>
    <t>X-Team - Ad Ops X Social</t>
  </si>
  <si>
    <t>Growth Marketing</t>
  </si>
  <si>
    <t>General</t>
  </si>
  <si>
    <t>General/Optional Viva Enage Communtiies</t>
  </si>
  <si>
    <t>DTC 7 Hudson Square Office</t>
  </si>
  <si>
    <t>D Tools IT</t>
  </si>
  <si>
    <t>Bunsen &amp; Beaker's Lab</t>
  </si>
  <si>
    <t>Disney Benefits and Perks - Unofficial</t>
  </si>
  <si>
    <t>Benefits updates / Q&amp;A / Disney Parks, Perks, and Tips</t>
  </si>
  <si>
    <t>TWDC Enterprise Diversity &amp; Inclusion/Harmony BERG</t>
  </si>
  <si>
    <t>The Melanin Collective BERG/The Bond BERG</t>
  </si>
  <si>
    <t>IMPACT | HAPI BERG</t>
  </si>
  <si>
    <t>Disney PRIDE/Enterprise Disney PRIDE BERG</t>
  </si>
  <si>
    <t>Salute Enterpirse BERG</t>
  </si>
  <si>
    <t>SHALOM Enterprise BERG</t>
  </si>
  <si>
    <t>Disney NAATV Enterprise BERG</t>
  </si>
  <si>
    <t>Salaam Enterprise BERG</t>
  </si>
  <si>
    <t>Specialist Meeting</t>
  </si>
  <si>
    <t>Monday - Meeting amongst the Specialists to go over projects and notes we have for the larger team. The Associates alternate who leads each week</t>
  </si>
  <si>
    <t>Test Ticket</t>
  </si>
  <si>
    <t>Action Items for Trainer Ticket</t>
  </si>
  <si>
    <t>Action Items for Trainee Ticket</t>
  </si>
  <si>
    <t>Display Training</t>
  </si>
  <si>
    <r>
      <rPr>
        <rFont val="Montserrat"/>
        <sz val="8.0"/>
      </rPr>
      <t xml:space="preserve">- TRAINER to duplicate this </t>
    </r>
    <r>
      <rPr>
        <rFont val="Montserrat"/>
        <color rgb="FF1155CC"/>
        <sz val="8.0"/>
        <u/>
      </rPr>
      <t>ticket</t>
    </r>
    <r>
      <rPr>
        <rFont val="Montserrat"/>
        <sz val="8.0"/>
      </rPr>
      <t xml:space="preserve"> and assign to TRAINEE
- Update Ticket Name to include TRAINEE's Name
- Copy over description for trafficking instructions            
- All CRS's trafficked should go under 1 camapaign                                                                                                                                                  </t>
    </r>
  </si>
  <si>
    <r>
      <rPr>
        <rFont val="Montserrat"/>
        <color rgb="FF1155CC"/>
        <sz val="8.0"/>
        <u/>
      </rPr>
      <t xml:space="preserve">MLP QA Training
</t>
    </r>
    <r>
      <rPr>
        <rFont val="Montserrat"/>
        <color rgb="FF000000"/>
        <sz val="8.0"/>
        <u/>
      </rPr>
      <t xml:space="preserve">(Optional) </t>
    </r>
    <r>
      <rPr>
        <rFont val="Montserrat"/>
        <color rgb="FF1155CC"/>
        <sz val="8.0"/>
        <u/>
      </rPr>
      <t>Commerce Flow Training</t>
    </r>
  </si>
  <si>
    <t>- TRAINER to duplicate this ticket and assign to TRAINEE
- Update Ticket Name to include TRAINEE's Name</t>
  </si>
  <si>
    <t>Youtube Training</t>
  </si>
  <si>
    <r>
      <rPr>
        <rFont val="Montserrat"/>
        <sz val="8.0"/>
      </rPr>
      <t xml:space="preserve">- TRAINER to duplicate this </t>
    </r>
    <r>
      <rPr>
        <rFont val="Montserrat"/>
        <color rgb="FF1155CC"/>
        <sz val="8.0"/>
        <u/>
      </rPr>
      <t>ticket</t>
    </r>
    <r>
      <rPr>
        <rFont val="Montserrat"/>
        <sz val="8.0"/>
      </rPr>
      <t xml:space="preserve"> ticket and assign to TRAINEE
- Update Ticket Name to include TRAINEE's Name
- Copy over description for trafficking instructions            
- All CRS's trafficked should go under 1 camapaign (same campaign as Display Training Ticket)</t>
    </r>
  </si>
  <si>
    <t>Kochava Training</t>
  </si>
  <si>
    <t>- TRAINER to duplicate this ticket and assign to TRAINEE
- Update Ticket Name &amp; Campaign Name to include TRAINEE's Name</t>
  </si>
  <si>
    <t>Kochava without CM Trafficking</t>
  </si>
  <si>
    <r>
      <rPr>
        <rFont val="Montserrat"/>
        <sz val="8.0"/>
      </rPr>
      <t xml:space="preserve">(Optional) </t>
    </r>
    <r>
      <rPr>
        <rFont val="Montserrat"/>
        <color rgb="FF1155CC"/>
        <sz val="8.0"/>
        <u/>
      </rPr>
      <t>Kochava Reporting: Installs</t>
    </r>
  </si>
  <si>
    <r>
      <rPr>
        <rFont val="Montserrat"/>
        <sz val="8.0"/>
      </rPr>
      <t xml:space="preserve">(Optional) </t>
    </r>
    <r>
      <rPr>
        <rFont val="Montserrat"/>
        <color rgb="FF1155CC"/>
        <sz val="8.0"/>
        <u/>
      </rPr>
      <t>Kochava Reporting: Events</t>
    </r>
  </si>
  <si>
    <t>EVE Training</t>
  </si>
  <si>
    <t>- TRAINER to duplicate this ticket and assign to TRAINEE
- Update Ticket Name to include TRAINEE's Name
- Ensure TRAINEE has added their Yahoo credentials to EVE ahead of trafficking</t>
  </si>
  <si>
    <t>Sasha Sukdeo-Hausner's Access Checklist</t>
  </si>
  <si>
    <t>Progress</t>
  </si>
  <si>
    <r>
      <rPr/>
      <t xml:space="preserve">Cut </t>
    </r>
    <r>
      <rPr>
        <color rgb="FF1155CC"/>
        <u/>
      </rPr>
      <t>ticket</t>
    </r>
    <r>
      <rPr/>
      <t xml:space="preserve"> for new hire to review the Paid Media New Hire Slides</t>
    </r>
  </si>
  <si>
    <t>Google Slides</t>
  </si>
  <si>
    <t>Form</t>
  </si>
  <si>
    <t>TWDC Platform for contractors/PGD</t>
  </si>
  <si>
    <t xml:space="preserve">Add to relevant email aliases </t>
  </si>
  <si>
    <t>Group ID Info</t>
  </si>
  <si>
    <t>Forward Event invites</t>
  </si>
  <si>
    <t>Reocurring Calendar Invites</t>
  </si>
  <si>
    <t>Add to Slack Channels</t>
  </si>
  <si>
    <t xml:space="preserve">Buddy to follow up on slack channels all mentioned in the resources tab. </t>
  </si>
  <si>
    <t>Grant access within CM360.</t>
  </si>
  <si>
    <t>Airtable</t>
  </si>
  <si>
    <t xml:space="preserve">Click share at the top right hand corner of the BOAT site. </t>
  </si>
  <si>
    <t xml:space="preserve">Email IAS Contact with the new hire's email. </t>
  </si>
  <si>
    <t xml:space="preserve">Add as an EVE user. </t>
  </si>
  <si>
    <t>Cut a ticket for the Display team. DSS Programmatic Platforms: Global Login Requests</t>
  </si>
  <si>
    <r>
      <rPr/>
      <t xml:space="preserve">Cut a </t>
    </r>
    <r>
      <rPr>
        <color rgb="FF1155CC"/>
        <u/>
      </rPr>
      <t>ticket</t>
    </r>
    <r>
      <rPr/>
      <t xml:space="preserve"> for the Social team. </t>
    </r>
  </si>
  <si>
    <r>
      <rPr/>
      <t xml:space="preserve">Cut a </t>
    </r>
    <r>
      <rPr>
        <color rgb="FF1155CC"/>
        <u/>
      </rPr>
      <t>ticket</t>
    </r>
    <r>
      <rPr/>
      <t xml:space="preserve"> for the Search team. </t>
    </r>
  </si>
  <si>
    <r>
      <rPr/>
      <t xml:space="preserve">Details at bottom of this </t>
    </r>
    <r>
      <rPr>
        <color rgb="FF1155CC"/>
        <u/>
      </rPr>
      <t>wiki</t>
    </r>
    <r>
      <rPr/>
      <t xml:space="preserve">. </t>
    </r>
  </si>
  <si>
    <r>
      <rPr/>
      <t xml:space="preserve">Details at bottom of this </t>
    </r>
    <r>
      <rPr>
        <color rgb="FF1155CC"/>
        <u/>
      </rPr>
      <t>wiki</t>
    </r>
    <r>
      <rPr/>
      <t xml:space="preserve">. </t>
    </r>
  </si>
  <si>
    <t>Email AtlassianSupport@disneystreaming.com</t>
  </si>
  <si>
    <t>SSH (8/9)-due to Confluence migration from Wiki, this is currently unavailable</t>
  </si>
  <si>
    <r>
      <rPr/>
      <t xml:space="preserve">Onboarding </t>
    </r>
    <r>
      <rPr>
        <color rgb="FF1155CC"/>
        <u/>
      </rPr>
      <t>Info</t>
    </r>
  </si>
  <si>
    <r>
      <rPr>
        <b/>
        <color rgb="FF1155CC"/>
        <sz val="10.0"/>
        <u/>
      </rPr>
      <t xml:space="preserve">Zoom Link
</t>
    </r>
    <r>
      <rPr>
        <b/>
        <sz val="10.0"/>
      </rPr>
      <t xml:space="preserve">Work Email: Sasha.SukdeoHausner.-ND@disney.com
Personal Email (for emergencies): </t>
    </r>
  </si>
  <si>
    <t>Sasha Sukdeo-Hausner's Workshop Schedule</t>
  </si>
  <si>
    <t>Invite Sent</t>
  </si>
  <si>
    <t>Buddy Intro &amp; Associate 101</t>
  </si>
  <si>
    <t>Buddy - Michael</t>
  </si>
  <si>
    <r>
      <rPr>
        <color rgb="FF000000"/>
      </rPr>
      <t xml:space="preserve">Onboarding Schedule &amp; Info &gt; </t>
    </r>
    <r>
      <rPr>
        <color rgb="FF1155CC"/>
        <u/>
      </rPr>
      <t>Resources Tab</t>
    </r>
  </si>
  <si>
    <t>Elizabeth</t>
  </si>
  <si>
    <t>Intro to Airtable and Ticket Types</t>
  </si>
  <si>
    <t>AirTable Training Guide Comprehensive</t>
  </si>
  <si>
    <t>Tuesday</t>
  </si>
  <si>
    <t>Hiring Manager - Shah</t>
  </si>
  <si>
    <t>- Cover the Gannt Chart and important project Tickets</t>
  </si>
  <si>
    <t>Gannt Chart</t>
  </si>
  <si>
    <t>Laura, Rachel</t>
  </si>
  <si>
    <t>- What is IAS?
- What is its function?
- Different Brand's Templates
- Walk through IAS Platform &amp; Create TEST IAS Campaign to be used in Display Trainee Ticket (ex: New Hire's Test Campaign 2024)
- Check in on trainee's IAS access and follow up on access request if necessary</t>
  </si>
  <si>
    <t>Jamie, Audrey</t>
  </si>
  <si>
    <t>Ad Ops Homepage</t>
  </si>
  <si>
    <t>Wednesday</t>
  </si>
  <si>
    <t>Thursday</t>
  </si>
  <si>
    <t>Michael, Audrey</t>
  </si>
  <si>
    <t xml:space="preserve">- YouTube Trafficking Trainer Ticket
- Assign YouTube Trainee Ticket
- Masthead YouTube 
</t>
  </si>
  <si>
    <t>Smartly Campaign Brief</t>
  </si>
  <si>
    <t>Smartly Workflow</t>
  </si>
  <si>
    <t>Kim</t>
  </si>
  <si>
    <t>Floodlight Wiki</t>
  </si>
  <si>
    <t>Floodlight Powerpoint</t>
  </si>
  <si>
    <t>Audrey, Rachel</t>
  </si>
  <si>
    <t>Kim, Maurice</t>
  </si>
  <si>
    <t>Ken, Rachel, Maurice</t>
  </si>
  <si>
    <r>
      <rPr/>
      <t xml:space="preserve">- Walk through the Adobe Site
- Walk through Adobe </t>
    </r>
    <r>
      <rPr>
        <color rgb="FF1155CC"/>
        <u/>
      </rPr>
      <t>Wiki</t>
    </r>
    <r>
      <rPr/>
      <t xml:space="preserve"> &amp; Common Processes
- Checkin on trainee's adobe access and follow up on access request if necessary 
-Adobe Launch powerpoint </t>
    </r>
    <r>
      <rPr>
        <color rgb="FF1155CC"/>
        <u/>
      </rPr>
      <t>here</t>
    </r>
  </si>
  <si>
    <t>Shah, Rachel</t>
  </si>
  <si>
    <t>Trainee Ticket</t>
  </si>
  <si>
    <t>Studio Tagging Walk Through</t>
  </si>
  <si>
    <t>Studio Tagging Example Ticket</t>
  </si>
  <si>
    <t>Push to Prod Example Ticket</t>
  </si>
  <si>
    <t>ALL - Elizabeth</t>
  </si>
  <si>
    <t>https://disney.zoom.us/j/99721187900?pwd=WkFWTU1YeFo3QTJITHRTNXhqa1U5QT09</t>
  </si>
  <si>
    <r>
      <rPr>
        <b/>
        <color rgb="FF1155CC"/>
        <sz val="10.0"/>
        <u/>
      </rPr>
      <t xml:space="preserve">Zoom Link
</t>
    </r>
    <r>
      <rPr>
        <b/>
        <sz val="10.0"/>
      </rPr>
      <t xml:space="preserve">Work Email:
Personal Email (for emergencies): </t>
    </r>
  </si>
  <si>
    <t>Bianca Siu's Workshop Schedule</t>
  </si>
  <si>
    <r>
      <rPr>
        <color rgb="FF000000"/>
      </rPr>
      <t xml:space="preserve">Onboarding Schedule &amp; Info &gt; </t>
    </r>
    <r>
      <rPr>
        <color rgb="FF1155CC"/>
        <u/>
      </rPr>
      <t>Resources Tab</t>
    </r>
  </si>
  <si>
    <t>Rachel, Kim</t>
  </si>
  <si>
    <t>Gantt Chart</t>
  </si>
  <si>
    <t>Laura, Kim</t>
  </si>
  <si>
    <t>Elizabeth, Audrey</t>
  </si>
  <si>
    <t>Laura, Ken</t>
  </si>
  <si>
    <t>New Primary Validation Doc
Product Offerings</t>
  </si>
  <si>
    <r>
      <rPr/>
      <t xml:space="preserve">- Walk through the Adobe Site
- Walk through Adobe Wiki &amp; Common Processes
- Checkin on trainee's adobe access and follow up on access request if necessary 
-Adobe Launch Powerpoint </t>
    </r>
    <r>
      <rPr>
        <color rgb="FF1155CC"/>
        <u/>
      </rPr>
      <t>here</t>
    </r>
  </si>
  <si>
    <t>Laura, Elizabeth</t>
  </si>
  <si>
    <t>Rachel, Ken</t>
  </si>
  <si>
    <t>Audrey</t>
  </si>
  <si>
    <t>Bianca Siu's Access Checklist</t>
  </si>
  <si>
    <r>
      <rPr/>
      <t xml:space="preserve">Cut </t>
    </r>
    <r>
      <rPr>
        <color rgb="FF1155CC"/>
        <u/>
      </rPr>
      <t>ticket</t>
    </r>
    <r>
      <rPr/>
      <t xml:space="preserve"> for new hire to review the Paid Media New Hire Slides</t>
    </r>
  </si>
  <si>
    <t>Carlton Clemens' 7/11/24 note: Already cut this ticket for Display; just waiting for them to fulfill such.</t>
  </si>
  <si>
    <t>All Social Platforms (Facebook,Snapchat, TikTok)</t>
  </si>
  <si>
    <r>
      <rPr/>
      <t xml:space="preserve">Cut a </t>
    </r>
    <r>
      <rPr>
        <color rgb="FF1155CC"/>
        <u/>
      </rPr>
      <t>ticket</t>
    </r>
    <r>
      <rPr/>
      <t xml:space="preserve"> for the Social team. </t>
    </r>
  </si>
  <si>
    <r>
      <rPr/>
      <t xml:space="preserve">Cut a </t>
    </r>
    <r>
      <rPr>
        <color rgb="FF1155CC"/>
        <u/>
      </rPr>
      <t>ticket</t>
    </r>
    <r>
      <rPr/>
      <t xml:space="preserve"> for the Search team. </t>
    </r>
  </si>
  <si>
    <r>
      <rPr/>
      <t xml:space="preserve">Details at bottom of this </t>
    </r>
    <r>
      <rPr>
        <color rgb="FF1155CC"/>
        <u/>
      </rPr>
      <t>wiki</t>
    </r>
    <r>
      <rPr/>
      <t xml:space="preserve">. </t>
    </r>
  </si>
  <si>
    <r>
      <rPr/>
      <t xml:space="preserve">Details at bottom of this </t>
    </r>
    <r>
      <rPr>
        <color rgb="FF1155CC"/>
        <u/>
      </rPr>
      <t>wiki</t>
    </r>
    <r>
      <rPr/>
      <t xml:space="preserve">. </t>
    </r>
  </si>
  <si>
    <r>
      <rPr/>
      <t xml:space="preserve">Onboarding </t>
    </r>
    <r>
      <rPr>
        <color rgb="FF1155CC"/>
        <u/>
      </rPr>
      <t>Info</t>
    </r>
  </si>
  <si>
    <t>Chris T's Access Checklist</t>
  </si>
  <si>
    <t>Pre-Hire: Reach out to New Hire (FTE) or request info from agency (Contractor)</t>
  </si>
  <si>
    <t>Pre-Hire: Request Disney Email/LAN</t>
  </si>
  <si>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No ticket watchers allowed.</t>
    </r>
  </si>
  <si>
    <t>Pre-Hire: Hardware Equipment</t>
  </si>
  <si>
    <r>
      <rPr>
        <rFont val="Montserrat"/>
        <color rgb="FF1155CC"/>
        <sz val="8.0"/>
        <u/>
      </rPr>
      <t>DToolsIT</t>
    </r>
    <r>
      <rPr>
        <rFont val="Montserrat"/>
        <sz val="8.0"/>
      </rPr>
      <t>. A IT member will reach out for details and software requirements. Ticket watcher allowed.</t>
    </r>
  </si>
  <si>
    <t>Pre-Hire: Blue Badge Request (Contractor only)</t>
  </si>
  <si>
    <r>
      <rPr>
        <rFont val="Montserrat"/>
        <color rgb="FF1155CC"/>
        <sz val="8.0"/>
        <u/>
      </rPr>
      <t>Disney Global Security</t>
    </r>
    <r>
      <rPr>
        <rFont val="Montserrat"/>
        <sz val="8.0"/>
      </rPr>
      <t>. Complete form and upload headshot. No ticket watcher allowed.</t>
    </r>
  </si>
  <si>
    <t>Pre-Hire: 1211 AoA Badge Request</t>
  </si>
  <si>
    <t>Reach out to Nini or Alex Engram from Workplace Experience with hire name, title, pernr, manager's name, email address, and a headshot</t>
  </si>
  <si>
    <t>Pre-Hire: Remote Access Request</t>
  </si>
  <si>
    <r>
      <rPr>
        <rFont val="Montserrat"/>
        <color rgb="FF1155CC"/>
        <sz val="8.0"/>
        <u/>
      </rPr>
      <t>Backstage Pass</t>
    </r>
    <r>
      <rPr>
        <rFont val="Montserrat"/>
        <sz val="8.0"/>
      </rPr>
      <t>. Ticket watcher allowed.</t>
    </r>
  </si>
  <si>
    <t>Pre-Hire: Disney Streaming account</t>
  </si>
  <si>
    <t>Recommended to visit IT in-office on New Hire's first day</t>
  </si>
  <si>
    <r>
      <rPr>
        <rFont val="Montserrat"/>
        <sz val="8.0"/>
      </rPr>
      <t xml:space="preserve">Cut </t>
    </r>
    <r>
      <rPr>
        <rFont val="Montserrat"/>
        <color rgb="FF1155CC"/>
        <sz val="8.0"/>
        <u/>
      </rPr>
      <t>ticket</t>
    </r>
    <r>
      <rPr>
        <rFont val="Montserrat"/>
        <sz val="8.0"/>
      </rPr>
      <t xml:space="preserve"> for new hire to review the Paid Media New Hire Slides</t>
    </r>
  </si>
  <si>
    <t>GlobalProtect VPN Access</t>
  </si>
  <si>
    <t xml:space="preserve">Reach out to the #ds-it-support-plus for access if Global Connect is not found within Self Service (on Mac). </t>
  </si>
  <si>
    <t>Reach out to Randall Booker via Slack DM or #ny-office.</t>
  </si>
  <si>
    <t>TWDC Platform (Contractors/PGD)</t>
  </si>
  <si>
    <t>DV360</t>
  </si>
  <si>
    <t>https://displayvideo.google.com/ng_nav/home_v3</t>
  </si>
  <si>
    <r>
      <rPr>
        <rFont val="Montserrat"/>
        <sz val="8.0"/>
      </rPr>
      <t xml:space="preserve">Grant access within CM360. </t>
    </r>
    <r>
      <rPr>
        <rFont val="Montserrat"/>
        <color rgb="FF1155CC"/>
        <sz val="8.0"/>
        <u/>
      </rPr>
      <t>https://campaignmanager.google.com/trafficking/#/accounts/6344/campaigns?status=1&amp;archived=false&amp;ids=</t>
    </r>
  </si>
  <si>
    <r>
      <rPr>
        <rFont val="Montserrat"/>
        <sz val="8.0"/>
      </rPr>
      <t xml:space="preserve">Cut a </t>
    </r>
    <r>
      <rPr>
        <rFont val="Montserrat"/>
        <color rgb="FF1155CC"/>
        <sz val="8.0"/>
        <u/>
      </rPr>
      <t>ticket</t>
    </r>
    <r>
      <rPr>
        <rFont val="Montserrat"/>
        <sz val="8.0"/>
      </rPr>
      <t xml:space="preserve"> for the Display team: DSS Programmatic Platforms - Global Login Requests</t>
    </r>
  </si>
  <si>
    <r>
      <rPr>
        <rFont val="Montserrat"/>
        <sz val="8.0"/>
      </rPr>
      <t xml:space="preserve">Cut a </t>
    </r>
    <r>
      <rPr>
        <rFont val="Montserrat"/>
        <color rgb="FF1155CC"/>
        <sz val="8.0"/>
        <u/>
      </rPr>
      <t>ticket</t>
    </r>
    <r>
      <rPr>
        <rFont val="Montserrat"/>
        <sz val="8.0"/>
      </rPr>
      <t xml:space="preserve"> for the Social team. </t>
    </r>
  </si>
  <si>
    <r>
      <rPr>
        <rFont val="Montserrat"/>
        <sz val="8.0"/>
      </rPr>
      <t xml:space="preserve">Cut a </t>
    </r>
    <r>
      <rPr>
        <rFont val="Montserrat"/>
        <color rgb="FF1155CC"/>
        <sz val="8.0"/>
        <u/>
      </rPr>
      <t>ticket</t>
    </r>
    <r>
      <rPr>
        <rFont val="Montserrat"/>
        <sz val="8.0"/>
      </rPr>
      <t xml:space="preserve"> for the Search team. </t>
    </r>
  </si>
  <si>
    <r>
      <rPr>
        <rFont val="Montserrat"/>
        <sz val="8.0"/>
      </rPr>
      <t xml:space="preserve">Details at bottom of this </t>
    </r>
    <r>
      <rPr>
        <rFont val="Montserrat"/>
        <color rgb="FF1155CC"/>
        <sz val="8.0"/>
        <u/>
      </rPr>
      <t>wiki</t>
    </r>
    <r>
      <rPr>
        <rFont val="Montserrat"/>
        <sz val="8.0"/>
      </rPr>
      <t xml:space="preserve">. </t>
    </r>
  </si>
  <si>
    <t xml:space="preserve">Reach out to Shah Bari for Access. </t>
  </si>
  <si>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</si>
  <si>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</si>
  <si>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</si>
  <si>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r>
      <rPr>
        <rFont val="Montserrat"/>
        <b/>
        <color rgb="FF1155CC"/>
        <sz val="8.0"/>
        <u/>
      </rPr>
      <t xml:space="preserve">Zoom Link
</t>
    </r>
    <r>
      <rPr>
        <rFont val="Montserrat"/>
        <b/>
        <sz val="8.0"/>
      </rPr>
      <t>Work Email: Chris.Trammel@disney.com</t>
    </r>
  </si>
  <si>
    <t>Chris Trammel's Name Workshop Schedule</t>
  </si>
  <si>
    <t>Buddy/Betty</t>
  </si>
  <si>
    <r>
      <rPr>
        <rFont val="Montserrat"/>
        <color rgb="FF1155CC"/>
        <sz val="8.0"/>
        <u/>
      </rPr>
      <t>Intro to Airtable and Ticket Types</t>
    </r>
    <r>
      <rPr>
        <rFont val="Montserrat"/>
        <sz val="8.0"/>
      </rPr>
      <t xml:space="preserve">
</t>
    </r>
    <r>
      <rPr>
        <rFont val="Montserrat"/>
        <color rgb="FF1155CC"/>
        <sz val="8.0"/>
        <u/>
      </rPr>
      <t>AirTable Training Guide Comprehensive</t>
    </r>
  </si>
  <si>
    <t>Ken, Kim</t>
  </si>
  <si>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</si>
  <si>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Sasha, Bianca</t>
  </si>
  <si>
    <r>
      <rPr>
        <rFont val="Montserrat"/>
        <strike/>
        <color rgb="FF1155CC"/>
        <sz val="8.0"/>
      </rPr>
      <t>Smartly Campaign Brief</t>
    </r>
    <r>
      <rPr>
        <rFont val="Montserrat"/>
        <strike/>
        <sz val="8.0"/>
      </rPr>
      <t xml:space="preserve">
</t>
    </r>
    <r>
      <rPr>
        <rFont val="Montserrat"/>
        <strike/>
        <color rgb="FF1155CC"/>
        <sz val="8.0"/>
      </rPr>
      <t>Smartly Workflow</t>
    </r>
  </si>
  <si>
    <t>Buddy Check In # 1 of 4 (11/13)</t>
  </si>
  <si>
    <r>
      <rPr>
        <rFont val="Montserrat"/>
        <color rgb="FF1155CC"/>
        <sz val="8.0"/>
        <u/>
      </rPr>
      <t>Floodlight Wiki</t>
    </r>
    <r>
      <rPr>
        <rFont val="Montserrat"/>
        <sz val="8.0"/>
      </rPr>
      <t xml:space="preserve">
</t>
    </r>
    <r>
      <rPr>
        <rFont val="Montserrat"/>
        <color rgb="FF1155CC"/>
        <sz val="8.0"/>
        <u/>
      </rPr>
      <t>Floodlight Powerpoint</t>
    </r>
  </si>
  <si>
    <t>Kim, Rachel, Bianca</t>
  </si>
  <si>
    <t>Kim, Rachel</t>
  </si>
  <si>
    <r>
      <rPr>
        <rFont val="Montserrat"/>
        <color rgb="FF1155CC"/>
        <sz val="8.0"/>
        <u/>
      </rPr>
      <t>Trainer Template
(Optional) Test Ticket without CM Trafficking portion
(Optional) Installs Reporting Ticket</t>
    </r>
    <r>
      <rPr>
        <rFont val="Montserrat"/>
        <sz val="8.0"/>
      </rPr>
      <t xml:space="preserve">
</t>
    </r>
    <r>
      <rPr>
        <rFont val="Montserrat"/>
        <color rgb="FF1155CC"/>
        <sz val="8.0"/>
        <u/>
      </rPr>
      <t>(Optional) Event Reporting Ticket</t>
    </r>
  </si>
  <si>
    <t>Elizabeth, Laura</t>
  </si>
  <si>
    <t>Laila, ken, Bianca</t>
  </si>
  <si>
    <r>
      <rPr>
        <rFont val="Montserrat"/>
        <sz val="8.0"/>
      </rPr>
      <t xml:space="preserve">- Walk through the Adobe Site
- Walk through Adobe </t>
    </r>
    <r>
      <rPr>
        <rFont val="Montserrat"/>
        <color rgb="FF1155CC"/>
        <sz val="8.0"/>
        <u/>
      </rPr>
      <t>Wiki</t>
    </r>
    <r>
      <rPr>
        <rFont val="Montserrat"/>
        <sz val="8.0"/>
      </rPr>
      <t xml:space="preserve"> &amp; Common Processes
- Checkin on trainee's adobe access and follow up on access request if necessary</t>
    </r>
  </si>
  <si>
    <r>
      <rPr>
        <rFont val="Montserrat"/>
        <color rgb="FF1155CC"/>
        <sz val="8.0"/>
        <u/>
      </rPr>
      <t xml:space="preserve">Adobe Launch </t>
    </r>
    <r>
      <rPr>
        <rFont val="Montserrat"/>
        <sz val="8.0"/>
      </rPr>
      <t xml:space="preserve"> 
</t>
    </r>
    <r>
      <rPr>
        <rFont val="Montserrat"/>
        <color rgb="FF1155CC"/>
        <sz val="8.0"/>
        <u/>
      </rPr>
      <t xml:space="preserve">Adobe 101 Powerpoint </t>
    </r>
  </si>
  <si>
    <t>Betty, Bianca</t>
  </si>
  <si>
    <r>
      <rPr>
        <rFont val="Montserrat"/>
        <sz val="8.0"/>
      </rPr>
      <t xml:space="preserve">MLP QA - </t>
    </r>
    <r>
      <rPr>
        <rFont val="Montserrat"/>
        <color rgb="FF1155CC"/>
        <sz val="8.0"/>
        <u/>
      </rPr>
      <t xml:space="preserve">Trainee Ticket
</t>
    </r>
    <r>
      <rPr>
        <rFont val="Montserrat"/>
        <sz val="8.0"/>
      </rPr>
      <t xml:space="preserve">(Optional) </t>
    </r>
    <r>
      <rPr>
        <rFont val="Montserrat"/>
        <color rgb="FF1155CC"/>
        <sz val="8.0"/>
        <u/>
      </rPr>
      <t>Commerce Flow Training</t>
    </r>
  </si>
  <si>
    <r>
      <rPr>
        <rFont val="Montserrat"/>
        <color rgb="FF1155CC"/>
        <sz val="8.0"/>
        <u/>
      </rPr>
      <t>Studio Tagging Example Ticket</t>
    </r>
    <r>
      <rPr>
        <rFont val="Montserrat"/>
        <sz val="8.0"/>
      </rPr>
      <t xml:space="preserve">
</t>
    </r>
    <r>
      <rPr>
        <rFont val="Montserrat"/>
        <color rgb="FF1155CC"/>
        <sz val="8.0"/>
        <u/>
      </rPr>
      <t>Push to Prod Example Ticket</t>
    </r>
  </si>
  <si>
    <t>Buddy Check In #2 of 4 (30 Day) 11/25</t>
  </si>
  <si>
    <t>Buddy Check in #3 of 4 (60 Day) 12/19</t>
  </si>
  <si>
    <t>Buddy/Manager Check - In (60 Day) 12/19</t>
  </si>
  <si>
    <t>Shah &amp; Betty</t>
  </si>
  <si>
    <t>Buddy Check in #4 of 4 (90 Day) 1/22</t>
  </si>
  <si>
    <t>Betty's Access Checklist</t>
  </si>
  <si>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No ticket watchers allowed.</t>
    </r>
  </si>
  <si>
    <r>
      <rPr>
        <rFont val="Montserrat"/>
        <color rgb="FF1155CC"/>
        <sz val="8.0"/>
        <u/>
      </rPr>
      <t>DToolsIT</t>
    </r>
    <r>
      <rPr>
        <rFont val="Montserrat"/>
        <sz val="8.0"/>
      </rPr>
      <t>. A IT member will reach out for details and software requirements. Ticket watcher allowed.</t>
    </r>
  </si>
  <si>
    <r>
      <rPr>
        <rFont val="Montserrat"/>
        <color rgb="FF1155CC"/>
        <sz val="8.0"/>
        <u/>
      </rPr>
      <t>Disney Global Security</t>
    </r>
    <r>
      <rPr>
        <rFont val="Montserrat"/>
        <sz val="8.0"/>
      </rPr>
      <t>. Complete form and upload headshot. No ticket watcher allowed.</t>
    </r>
  </si>
  <si>
    <r>
      <rPr>
        <rFont val="Montserrat"/>
        <color rgb="FF1155CC"/>
        <sz val="8.0"/>
        <u/>
      </rPr>
      <t>Backstage Pass</t>
    </r>
    <r>
      <rPr>
        <rFont val="Montserrat"/>
        <sz val="8.0"/>
      </rPr>
      <t>. Ticket watcher allowed.</t>
    </r>
  </si>
  <si>
    <r>
      <rPr>
        <rFont val="Montserrat"/>
        <sz val="8.0"/>
      </rPr>
      <t xml:space="preserve">Cut </t>
    </r>
    <r>
      <rPr>
        <rFont val="Montserrat"/>
        <color rgb="FF1155CC"/>
        <sz val="8.0"/>
        <u/>
      </rPr>
      <t>ticket</t>
    </r>
    <r>
      <rPr>
        <rFont val="Montserrat"/>
        <sz val="8.0"/>
      </rPr>
      <t xml:space="preserve"> for new hire to review the Paid Media New Hire Slides</t>
    </r>
  </si>
  <si>
    <r>
      <rPr>
        <rFont val="Montserrat"/>
        <sz val="8.0"/>
      </rPr>
      <t xml:space="preserve">Grant access within CM360. </t>
    </r>
    <r>
      <rPr>
        <rFont val="Montserrat"/>
        <color rgb="FF1155CC"/>
        <sz val="8.0"/>
        <u/>
      </rPr>
      <t>https://campaignmanager.google.com/trafficking/#/accounts/6344/campaigns?status=1&amp;archived=false&amp;ids=</t>
    </r>
  </si>
  <si>
    <r>
      <rPr>
        <rFont val="Montserrat"/>
        <sz val="8.0"/>
      </rPr>
      <t xml:space="preserve">Cut a </t>
    </r>
    <r>
      <rPr>
        <rFont val="Montserrat"/>
        <color rgb="FF1155CC"/>
        <sz val="8.0"/>
        <u/>
      </rPr>
      <t>ticket</t>
    </r>
    <r>
      <rPr>
        <rFont val="Montserrat"/>
        <sz val="8.0"/>
      </rPr>
      <t xml:space="preserve"> for the Display team: DSS Programmatic Platforms - Global Login Requests</t>
    </r>
  </si>
  <si>
    <r>
      <rPr>
        <rFont val="Montserrat"/>
        <sz val="8.0"/>
      </rPr>
      <t xml:space="preserve">Cut a </t>
    </r>
    <r>
      <rPr>
        <rFont val="Montserrat"/>
        <color rgb="FF1155CC"/>
        <sz val="8.0"/>
        <u/>
      </rPr>
      <t>ticket</t>
    </r>
    <r>
      <rPr>
        <rFont val="Montserrat"/>
        <sz val="8.0"/>
      </rPr>
      <t xml:space="preserve"> for the Social team. </t>
    </r>
  </si>
  <si>
    <r>
      <rPr>
        <rFont val="Montserrat"/>
        <sz val="8.0"/>
      </rPr>
      <t xml:space="preserve">Cut a </t>
    </r>
    <r>
      <rPr>
        <rFont val="Montserrat"/>
        <color rgb="FF1155CC"/>
        <sz val="8.0"/>
        <u/>
      </rPr>
      <t>ticket</t>
    </r>
    <r>
      <rPr>
        <rFont val="Montserrat"/>
        <sz val="8.0"/>
      </rPr>
      <t xml:space="preserve"> for the Search team. </t>
    </r>
  </si>
  <si>
    <r>
      <rPr>
        <rFont val="Montserrat"/>
        <sz val="8.0"/>
      </rPr>
      <t xml:space="preserve">Details at bottom of this </t>
    </r>
    <r>
      <rPr>
        <rFont val="Montserrat"/>
        <color rgb="FF1155CC"/>
        <sz val="8.0"/>
        <u/>
      </rPr>
      <t>wiki</t>
    </r>
    <r>
      <rPr>
        <rFont val="Montserrat"/>
        <sz val="8.0"/>
      </rPr>
      <t xml:space="preserve">. </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</si>
  <si>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</si>
  <si>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</si>
  <si>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</si>
  <si>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t>ADJUSTED START DATE</t>
  </si>
  <si>
    <t>Scheduled Start Date</t>
  </si>
  <si>
    <t>betty.ng@ext.disneystreaming.com</t>
  </si>
  <si>
    <t>betty.x.ng@disney.com</t>
  </si>
  <si>
    <r>
      <rPr>
        <rFont val="Montserrat"/>
        <b/>
        <color rgb="FF1155CC"/>
        <sz val="8.0"/>
        <u/>
      </rPr>
      <t xml:space="preserve">Zoom Link
</t>
    </r>
    <r>
      <rPr>
        <rFont val="Montserrat"/>
        <b/>
        <sz val="8.0"/>
      </rPr>
      <t>Work Email: betty.x.ng@disney.com</t>
    </r>
  </si>
  <si>
    <t>Betty's Workshop Schedule</t>
  </si>
  <si>
    <t>Buddy - Elizabeth</t>
  </si>
  <si>
    <r>
      <rPr>
        <rFont val="Montserrat"/>
        <color rgb="FF1155CC"/>
        <sz val="8.0"/>
        <u/>
      </rPr>
      <t>Intro to Airtable and Ticket Types</t>
    </r>
    <r>
      <rPr>
        <rFont val="Montserrat"/>
        <sz val="8.0"/>
      </rPr>
      <t xml:space="preserve">
</t>
    </r>
    <r>
      <rPr>
        <rFont val="Montserrat"/>
        <color rgb="FF1155CC"/>
        <sz val="8.0"/>
        <u/>
      </rPr>
      <t>AirTable Training Guide Comprehensive</t>
    </r>
  </si>
  <si>
    <t>Jamie, Elizabeth</t>
  </si>
  <si>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</si>
  <si>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Sasha, Ken, Shah, Kim</t>
  </si>
  <si>
    <t>Youtube Wiki</t>
  </si>
  <si>
    <r>
      <rPr>
        <rFont val="Montserrat"/>
        <color rgb="FF1155CC"/>
        <sz val="8.0"/>
        <u/>
      </rPr>
      <t>Smartly Campaign Brief</t>
    </r>
    <r>
      <rPr>
        <rFont val="Montserrat"/>
        <sz val="8.0"/>
      </rPr>
      <t xml:space="preserve">
</t>
    </r>
    <r>
      <rPr>
        <rFont val="Montserrat"/>
        <color rgb="FF1155CC"/>
        <sz val="8.0"/>
        <u/>
      </rPr>
      <t>Smartly Workflow</t>
    </r>
  </si>
  <si>
    <t>Laila, Audrey, Elizabeth</t>
  </si>
  <si>
    <r>
      <rPr>
        <rFont val="Montserrat"/>
        <color rgb="FF1155CC"/>
        <sz val="8.0"/>
        <u/>
      </rPr>
      <t>Floodlight Wiki</t>
    </r>
    <r>
      <rPr>
        <rFont val="Montserrat"/>
        <sz val="8.0"/>
      </rPr>
      <t xml:space="preserve">
</t>
    </r>
    <r>
      <rPr>
        <rFont val="Montserrat"/>
        <color rgb="FF1155CC"/>
        <sz val="8.0"/>
        <u/>
      </rPr>
      <t>Floodlight Powerpoint</t>
    </r>
  </si>
  <si>
    <t>Michael, Elizabeth</t>
  </si>
  <si>
    <t>- What is Kochava?
- How do we use it?
- Check in on Trainee's Kochava access and follow up on access request if necessary
- Network setup</t>
  </si>
  <si>
    <t>Michael, Sasha</t>
  </si>
  <si>
    <t>Ken/Laila</t>
  </si>
  <si>
    <t>Laila, Michael</t>
  </si>
  <si>
    <r>
      <rPr>
        <rFont val="Montserrat"/>
        <sz val="8.0"/>
      </rPr>
      <t xml:space="preserve">- Walk through the Adobe Site
- Walk through Adobe Wiki &amp; Common Processes
- Checkin on trainee's adobe access and follow up on access request if necessary 
-Adobe Launch Powerpoint </t>
    </r>
    <r>
      <rPr>
        <rFont val="Montserrat"/>
        <color rgb="FF1155CC"/>
        <sz val="8.0"/>
        <u/>
      </rPr>
      <t>here</t>
    </r>
  </si>
  <si>
    <t>Adobe Launch Wiki</t>
  </si>
  <si>
    <t>Kim, Laura</t>
  </si>
  <si>
    <r>
      <rPr>
        <rFont val="Montserrat"/>
        <color rgb="FF1155CC"/>
        <sz val="8.0"/>
        <u/>
      </rPr>
      <t>Studio Tagging Example Ticket</t>
    </r>
    <r>
      <rPr>
        <rFont val="Montserrat"/>
        <sz val="8.0"/>
      </rPr>
      <t xml:space="preserve">
</t>
    </r>
    <r>
      <rPr>
        <rFont val="Montserrat"/>
        <color rgb="FF1155CC"/>
        <sz val="8.0"/>
        <u/>
      </rPr>
      <t>Push to Prod Example Ticket</t>
    </r>
  </si>
  <si>
    <t>Sasha, Laura</t>
  </si>
  <si>
    <t>Michael/ Bianca</t>
  </si>
  <si>
    <t>Non-trafficking items/what these things are/what we use them for/who owns them:
- Current S2S integrations and what we're working on
- Types of events
- Teams we work with: DSI/DFS</t>
  </si>
  <si>
    <t xml:space="preserve"> </t>
  </si>
  <si>
    <t>Combined with Sasha and Bianca</t>
  </si>
  <si>
    <t>Chris Cha's Access Checklist</t>
  </si>
  <si>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</si>
  <si>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color rgb="FF1155CC"/>
        <sz val="8.0"/>
        <u/>
      </rPr>
      <t>DToolsIT</t>
    </r>
    <r>
      <rPr>
        <rFont val="Montserrat"/>
        <sz val="8.0"/>
      </rPr>
      <t>. A IT member will reach out for details and software requirements. Ticket watcher allowed.</t>
    </r>
  </si>
  <si>
    <t>Pre-Hire: Blue Badge Request
Contractor - reach out to Global Security
FTE - Send headshot to Vanesa C. (Talent Acq Coordinator)</t>
  </si>
  <si>
    <r>
      <rPr>
        <rFont val="Montserrat"/>
        <color rgb="FF1155CC"/>
        <sz val="8.0"/>
        <u/>
      </rPr>
      <t>Disney Global Security</t>
    </r>
    <r>
      <rPr>
        <rFont val="Montserrat"/>
        <sz val="8.0"/>
      </rPr>
      <t>. Complete form and upload headshot. No ticket watcher allowed.</t>
    </r>
  </si>
  <si>
    <r>
      <rPr>
        <rFont val="Montserrat"/>
        <color rgb="FF1155CC"/>
        <sz val="8.0"/>
        <u/>
      </rPr>
      <t>Backstage Pass</t>
    </r>
    <r>
      <rPr>
        <rFont val="Montserrat"/>
        <sz val="8.0"/>
      </rPr>
      <t>. Ticket watcher allowed.</t>
    </r>
  </si>
  <si>
    <r>
      <rPr>
        <rFont val="Montserrat"/>
        <sz val="8.0"/>
      </rPr>
      <t xml:space="preserve">Cut </t>
    </r>
    <r>
      <rPr>
        <rFont val="Montserrat"/>
        <color rgb="FF1155CC"/>
        <sz val="8.0"/>
        <u/>
      </rPr>
      <t>ticket</t>
    </r>
    <r>
      <rPr>
        <rFont val="Montserrat"/>
        <sz val="8.0"/>
      </rPr>
      <t xml:space="preserve"> for new hire to review the Paid Media New Hire Slides</t>
    </r>
  </si>
  <si>
    <t>Add to relevant Slack channels</t>
  </si>
  <si>
    <r>
      <rPr>
        <rFont val="Montserrat"/>
        <sz val="8.0"/>
      </rPr>
      <t xml:space="preserve">Cut a </t>
    </r>
    <r>
      <rPr>
        <rFont val="Montserrat"/>
        <color rgb="FF1155CC"/>
        <sz val="8.0"/>
        <u/>
      </rPr>
      <t>ticket</t>
    </r>
    <r>
      <rPr>
        <rFont val="Montserrat"/>
        <sz val="8.0"/>
      </rPr>
      <t xml:space="preserve"> for the Display team: DSS Programmatic Platforms - Global Login Requests</t>
    </r>
  </si>
  <si>
    <r>
      <rPr>
        <rFont val="Montserrat"/>
        <sz val="8.0"/>
      </rPr>
      <t xml:space="preserve">Cut a </t>
    </r>
    <r>
      <rPr>
        <rFont val="Montserrat"/>
        <color rgb="FF1155CC"/>
        <sz val="8.0"/>
        <u/>
      </rPr>
      <t>ticket</t>
    </r>
    <r>
      <rPr>
        <rFont val="Montserrat"/>
        <sz val="8.0"/>
      </rPr>
      <t xml:space="preserve"> for the Social team. </t>
    </r>
  </si>
  <si>
    <r>
      <rPr>
        <rFont val="Montserrat"/>
        <sz val="8.0"/>
      </rPr>
      <t xml:space="preserve">Cut a </t>
    </r>
    <r>
      <rPr>
        <rFont val="Montserrat"/>
        <color rgb="FF1155CC"/>
        <sz val="8.0"/>
        <u/>
      </rPr>
      <t>ticket</t>
    </r>
    <r>
      <rPr>
        <rFont val="Montserrat"/>
        <sz val="8.0"/>
      </rPr>
      <t xml:space="preserve"> for the Search team. </t>
    </r>
  </si>
  <si>
    <r>
      <rPr>
        <rFont val="Montserrat"/>
        <sz val="8.0"/>
      </rPr>
      <t xml:space="preserve">Details at bottom of this </t>
    </r>
    <r>
      <rPr>
        <rFont val="Montserrat"/>
        <color rgb="FF1155CC"/>
        <sz val="8.0"/>
        <u/>
      </rPr>
      <t>wiki</t>
    </r>
    <r>
      <rPr>
        <rFont val="Montserrat"/>
        <sz val="8.0"/>
      </rPr>
      <t xml:space="preserve">. </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</si>
  <si>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</si>
  <si>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</si>
  <si>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</si>
  <si>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t>[New Hire Name]'s Access Checklist</t>
  </si>
  <si>
    <r>
      <rPr>
        <rFont val="Montserrat"/>
        <i/>
        <color theme="1"/>
        <sz val="8.0"/>
      </rPr>
      <t>Pre-Hire:</t>
    </r>
    <r>
      <rPr>
        <rFont val="Montserrat"/>
        <color theme="1"/>
        <sz val="8.0"/>
      </rPr>
      <t xml:space="preserve"> Reach out to New Hire (FTE) or request info from agency (Contractor)</t>
    </r>
  </si>
  <si>
    <r>
      <rPr>
        <rFont val="Montserrat"/>
        <i/>
        <color theme="1"/>
        <sz val="8.0"/>
      </rPr>
      <t xml:space="preserve">Pre-Hire: </t>
    </r>
    <r>
      <rPr>
        <rFont val="Montserrat"/>
        <color theme="1"/>
        <sz val="8.0"/>
      </rPr>
      <t>Request Disney Email/LAN</t>
    </r>
  </si>
  <si>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</si>
  <si>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i/>
        <color theme="1"/>
        <sz val="8.0"/>
      </rPr>
      <t>Pre-Hire:</t>
    </r>
    <r>
      <rPr>
        <rFont val="Montserrat"/>
        <color theme="1"/>
        <sz val="8.0"/>
      </rPr>
      <t xml:space="preserve"> Hardware Equipment</t>
    </r>
  </si>
  <si>
    <r>
      <rPr>
        <rFont val="Montserrat"/>
        <color rgb="FF1155CC"/>
        <sz val="8.0"/>
        <u/>
      </rPr>
      <t>DToolsIT</t>
    </r>
    <r>
      <rPr>
        <rFont val="Montserrat"/>
        <sz val="8.0"/>
      </rPr>
      <t>. A IT member will reach out for details and software requirements. Ticket watcher allowed.</t>
    </r>
  </si>
  <si>
    <r>
      <rPr>
        <rFont val="Montserrat"/>
        <i/>
        <color theme="1"/>
        <sz val="8.0"/>
      </rPr>
      <t xml:space="preserve">Pre-Hire: </t>
    </r>
    <r>
      <rPr>
        <rFont val="Montserrat"/>
        <color theme="1"/>
        <sz val="8.0"/>
      </rPr>
      <t>Blue Badge Request
Contractor - reach out to Global Security
FTE - Send headshot to Vanesa C. (Talent Acq Coordinator)</t>
    </r>
  </si>
  <si>
    <r>
      <rPr>
        <rFont val="Montserrat"/>
        <color rgb="FF1155CC"/>
        <sz val="8.0"/>
        <u/>
      </rPr>
      <t>Disney Global Security</t>
    </r>
    <r>
      <rPr>
        <rFont val="Montserrat"/>
        <sz val="8.0"/>
      </rPr>
      <t>. Complete form and upload headshot. No ticket watcher allowed.</t>
    </r>
  </si>
  <si>
    <r>
      <rPr>
        <rFont val="Montserrat"/>
        <i/>
        <color theme="1"/>
        <sz val="8.0"/>
      </rPr>
      <t>Pre-Hire:</t>
    </r>
    <r>
      <rPr>
        <rFont val="Montserrat"/>
        <color theme="1"/>
        <sz val="8.0"/>
      </rPr>
      <t xml:space="preserve"> Remote Access Request</t>
    </r>
  </si>
  <si>
    <r>
      <rPr>
        <rFont val="Montserrat"/>
        <color rgb="FF1155CC"/>
        <sz val="8.0"/>
        <u/>
      </rPr>
      <t>Backstage Pass</t>
    </r>
    <r>
      <rPr>
        <rFont val="Montserrat"/>
        <sz val="8.0"/>
      </rPr>
      <t>. Ticket watcher allowed.</t>
    </r>
  </si>
  <si>
    <r>
      <rPr>
        <rFont val="Montserrat"/>
        <i/>
        <color theme="1"/>
        <sz val="8.0"/>
      </rPr>
      <t>Pre-Hire:</t>
    </r>
    <r>
      <rPr>
        <rFont val="Montserrat"/>
        <color theme="1"/>
        <sz val="8.0"/>
      </rPr>
      <t xml:space="preserve"> Disney Streaming account</t>
    </r>
  </si>
  <si>
    <t>Create BOAT for New Hire to complete CM360 Certification</t>
  </si>
  <si>
    <r>
      <rPr>
        <rFont val="Montserrat"/>
        <sz val="8.0"/>
      </rPr>
      <t xml:space="preserve">As an Ad Ops IC, this person is required to obtain CM360 certification. You can access the CM360 certification course through this </t>
    </r>
    <r>
      <rPr>
        <rFont val="Montserrat"/>
        <color rgb="FF1155CC"/>
        <sz val="8.0"/>
        <u/>
      </rPr>
      <t>https://skillshop.docebosaas.com/learn/courses/12987/campaign-manager-360-certification-exam</t>
    </r>
    <r>
      <rPr>
        <rFont val="Montserrat"/>
        <sz val="8.0"/>
      </rPr>
      <t xml:space="preserve"> The course takes approximately one hour and 15 minutes to complete. Enroll in the course using your @disneystreaming.com email address. Upon completion, please email your certification to your manager. If you have any questions, feel free to reach out to Shah.</t>
    </r>
  </si>
  <si>
    <r>
      <rPr>
        <rFont val="Montserrat"/>
        <sz val="8.0"/>
      </rPr>
      <t xml:space="preserve">Cut </t>
    </r>
    <r>
      <rPr>
        <rFont val="Montserrat"/>
        <color rgb="FF1155CC"/>
        <sz val="8.0"/>
        <u/>
      </rPr>
      <t>ticket</t>
    </r>
    <r>
      <rPr>
        <rFont val="Montserrat"/>
        <sz val="8.0"/>
      </rPr>
      <t xml:space="preserve"> for new hire to review </t>
    </r>
    <r>
      <rPr>
        <rFont val="Montserrat"/>
        <color rgb="FF1155CC"/>
        <sz val="8.0"/>
        <u/>
      </rPr>
      <t>the Paid Media New Hire slide deck</t>
    </r>
  </si>
  <si>
    <t xml:space="preserve">Reach out to IT for help if GlobalProtect is not found w/i Self Service (on Mac). </t>
  </si>
  <si>
    <r>
      <rPr>
        <rFont val="Montserrat"/>
        <sz val="8.0"/>
      </rPr>
      <t xml:space="preserve">Fill out the </t>
    </r>
    <r>
      <rPr>
        <rFont val="Montserrat"/>
        <color rgb="FF1155CC"/>
        <sz val="8.0"/>
        <u/>
      </rPr>
      <t>Team Member Onboarding Form</t>
    </r>
    <r>
      <rPr>
        <rFont val="Montserrat"/>
        <sz val="8.0"/>
      </rPr>
      <t xml:space="preserve"> (via the "Ad Ops Team Directory (AOTD)" [Airtable] base).</t>
    </r>
  </si>
  <si>
    <r>
      <rPr>
        <rFont val="Montserrat"/>
        <color rgb="FF1155CC"/>
        <sz val="8.0"/>
        <u/>
      </rPr>
      <t>GroupID info</t>
    </r>
    <r>
      <rPr>
        <rFont val="Montserrat"/>
        <color rgb="FF000000"/>
        <sz val="8.0"/>
      </rPr>
      <t xml:space="preserve"> (see step 3 of the "Employee Onboarding Instructions" [extension]).</t>
    </r>
  </si>
  <si>
    <t>Add to the "Ad Ops" Teams team + any relevant Teams channels</t>
  </si>
  <si>
    <t>Add Disney email to "Allow-list" for prod testing</t>
  </si>
  <si>
    <r>
      <rPr>
        <rFont val="Montserrat"/>
        <sz val="8.0"/>
      </rPr>
      <t xml:space="preserve">Cut a ticket( clone this </t>
    </r>
    <r>
      <rPr>
        <rFont val="Montserrat"/>
        <color rgb="FF1155CC"/>
        <sz val="8.0"/>
        <u/>
      </rPr>
      <t>ticket template</t>
    </r>
    <r>
      <rPr>
        <rFont val="Montserrat"/>
        <sz val="8.0"/>
      </rPr>
      <t xml:space="preserve">) ) to get @disney email added to the allow-list for prod testing  </t>
    </r>
  </si>
  <si>
    <t>Wiki</t>
  </si>
  <si>
    <r>
      <rPr>
        <rFont val="Montserrat"/>
        <sz val="8.0"/>
      </rPr>
      <t xml:space="preserve">Add them to </t>
    </r>
    <r>
      <rPr>
        <rFont val="Montserrat"/>
        <color rgb="FF1155CC"/>
        <sz val="8.0"/>
        <u/>
      </rPr>
      <t>our team's Wiki</t>
    </r>
    <r>
      <rPr>
        <rFont val="Montserrat"/>
        <sz val="8.0"/>
      </rPr>
      <t xml:space="preserve"> by opening such + click "Space tools" (in the bottom left) &amp; then "Permissions" + click "Edit Permissions" in the "Individual Users" section + find &amp; add them + grant them all permissions save for the three rightmost ones + click "Save all" (at the bottom)</t>
    </r>
  </si>
  <si>
    <t>Grant access w/i CM360. Confirm New Hire will need a Google Workspace account created, cut a ticket to IT to have Google Workspace emails auto-forwarded to disney email account</t>
  </si>
  <si>
    <t>Click "Share" at the top righthand corner of the BOAT, inviting them to such — and to the "BOAT Club" (which includes our "Ad Ops Team Directory (AOTD)" [Airtable] base) — w/ "Editor" access/permissions.</t>
  </si>
  <si>
    <r>
      <rPr>
        <rFont val="Montserrat"/>
        <sz val="8.0"/>
      </rPr>
      <t xml:space="preserve">Add their DS email address as a (prod) EVE user </t>
    </r>
    <r>
      <rPr>
        <rFont val="Montserrat"/>
        <color rgb="FF1155CC"/>
        <sz val="8.0"/>
        <u/>
      </rPr>
      <t>here</t>
    </r>
    <r>
      <rPr>
        <rFont val="Montserrat"/>
        <sz val="8.0"/>
      </rPr>
      <t xml:space="preserve">. </t>
    </r>
  </si>
  <si>
    <t>Affiliate Platform (Impact)</t>
  </si>
  <si>
    <r>
      <rPr>
        <rFont val="Montserrat"/>
        <sz val="8.0"/>
      </rPr>
      <t>Reach out to Nick Ranelle on the "</t>
    </r>
    <r>
      <rPr>
        <rFont val="Montserrat"/>
        <color rgb="FF1155CC"/>
        <sz val="8.0"/>
        <u/>
      </rPr>
      <t>X-Team - Ad Ops x Affiliate Team</t>
    </r>
    <r>
      <rPr>
        <rFont val="Montserrat"/>
        <sz val="8.0"/>
      </rPr>
      <t>" channel for access to Impact</t>
    </r>
  </si>
  <si>
    <r>
      <rPr>
        <rFont val="Montserrat"/>
        <sz val="8.0"/>
      </rPr>
      <t xml:space="preserve">Details at bottom of this </t>
    </r>
    <r>
      <rPr>
        <rFont val="Montserrat"/>
        <color rgb="FF1155CC"/>
        <sz val="8.0"/>
        <u/>
      </rPr>
      <t>wiki</t>
    </r>
    <r>
      <rPr>
        <rFont val="Montserrat"/>
        <sz val="8.0"/>
      </rPr>
      <t xml:space="preserve">. </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</si>
  <si>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</si>
  <si>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</si>
  <si>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</si>
  <si>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r>
      <rPr>
        <rFont val="Montserrat"/>
        <i/>
        <color theme="1"/>
        <sz val="8.0"/>
      </rPr>
      <t>Pre-Hire:</t>
    </r>
    <r>
      <rPr>
        <rFont val="Montserrat"/>
        <color theme="1"/>
        <sz val="8.0"/>
      </rPr>
      <t xml:space="preserve"> Reach out to New Hire (FTE) or request info from agency (Contractor)</t>
    </r>
  </si>
  <si>
    <r>
      <rPr>
        <rFont val="Montserrat"/>
        <i/>
        <color theme="1"/>
        <sz val="8.0"/>
      </rPr>
      <t xml:space="preserve">Pre-Hire: </t>
    </r>
    <r>
      <rPr>
        <rFont val="Montserrat"/>
        <color theme="1"/>
        <sz val="8.0"/>
      </rPr>
      <t>Request Disney Email/LAN</t>
    </r>
  </si>
  <si>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</si>
  <si>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i/>
        <color theme="1"/>
        <sz val="8.0"/>
      </rPr>
      <t>Pre-Hire:</t>
    </r>
    <r>
      <rPr>
        <rFont val="Montserrat"/>
        <color theme="1"/>
        <sz val="8.0"/>
      </rPr>
      <t xml:space="preserve"> Hardware Equipment</t>
    </r>
  </si>
  <si>
    <r>
      <rPr>
        <rFont val="Montserrat"/>
        <color rgb="FF1155CC"/>
        <sz val="8.0"/>
        <u/>
      </rPr>
      <t>DToolsIT</t>
    </r>
    <r>
      <rPr>
        <rFont val="Montserrat"/>
        <sz val="8.0"/>
      </rPr>
      <t>. A IT member will reach out for details and software requirements. Ticket watcher allowed.</t>
    </r>
  </si>
  <si>
    <r>
      <rPr>
        <rFont val="Montserrat"/>
        <i/>
        <color theme="1"/>
        <sz val="8.0"/>
      </rPr>
      <t xml:space="preserve">Pre-Hire: </t>
    </r>
    <r>
      <rPr>
        <rFont val="Montserrat"/>
        <color theme="1"/>
        <sz val="8.0"/>
      </rPr>
      <t>Blue Badge Request
Contractor - reach out to Global Security
FTE - Send headshot to Vanesa C. (Talent Acq Coordinator)</t>
    </r>
  </si>
  <si>
    <r>
      <rPr>
        <rFont val="Montserrat"/>
        <color rgb="FF1155CC"/>
        <sz val="8.0"/>
        <u/>
      </rPr>
      <t>Disney Global Security</t>
    </r>
    <r>
      <rPr>
        <rFont val="Montserrat"/>
        <sz val="8.0"/>
      </rPr>
      <t>. Complete form and upload headshot. No ticket watcher allowed.</t>
    </r>
  </si>
  <si>
    <r>
      <rPr>
        <rFont val="Montserrat"/>
        <i/>
        <color theme="1"/>
        <sz val="8.0"/>
      </rPr>
      <t>Pre-Hire:</t>
    </r>
    <r>
      <rPr>
        <rFont val="Montserrat"/>
        <color theme="1"/>
        <sz val="8.0"/>
      </rPr>
      <t xml:space="preserve"> 1211 AoA Badge Request</t>
    </r>
  </si>
  <si>
    <r>
      <rPr>
        <rFont val="Montserrat"/>
        <i/>
        <color theme="1"/>
        <sz val="8.0"/>
      </rPr>
      <t>Pre-Hire:</t>
    </r>
    <r>
      <rPr>
        <rFont val="Montserrat"/>
        <color theme="1"/>
        <sz val="8.0"/>
      </rPr>
      <t xml:space="preserve"> Remote Access Request</t>
    </r>
  </si>
  <si>
    <r>
      <rPr>
        <rFont val="Montserrat"/>
        <color rgb="FF1155CC"/>
        <sz val="8.0"/>
        <u/>
      </rPr>
      <t>Backstage Pass</t>
    </r>
    <r>
      <rPr>
        <rFont val="Montserrat"/>
        <sz val="8.0"/>
      </rPr>
      <t>. Ticket watcher allowed.</t>
    </r>
  </si>
  <si>
    <r>
      <rPr>
        <rFont val="Montserrat"/>
        <i/>
        <color theme="1"/>
        <sz val="8.0"/>
      </rPr>
      <t>Pre-Hire:</t>
    </r>
    <r>
      <rPr>
        <rFont val="Montserrat"/>
        <color theme="1"/>
        <sz val="8.0"/>
      </rPr>
      <t xml:space="preserve"> Disney Streaming account</t>
    </r>
  </si>
  <si>
    <r>
      <rPr>
        <rFont val="Montserrat"/>
        <sz val="8.0"/>
      </rPr>
      <t xml:space="preserve">Cut </t>
    </r>
    <r>
      <rPr>
        <rFont val="Montserrat"/>
        <color rgb="FF1155CC"/>
        <sz val="8.0"/>
        <u/>
      </rPr>
      <t>ticket</t>
    </r>
    <r>
      <rPr>
        <rFont val="Montserrat"/>
        <sz val="8.0"/>
      </rPr>
      <t xml:space="preserve"> for new hire to review </t>
    </r>
    <r>
      <rPr>
        <rFont val="Montserrat"/>
        <color rgb="FF1155CC"/>
        <sz val="8.0"/>
        <u/>
      </rPr>
      <t>the Paid Media New Hire slide deck</t>
    </r>
  </si>
  <si>
    <r>
      <rPr>
        <rFont val="Montserrat"/>
        <sz val="8.0"/>
      </rPr>
      <t xml:space="preserve">Fill out the </t>
    </r>
    <r>
      <rPr>
        <rFont val="Montserrat"/>
        <color rgb="FF1155CC"/>
        <sz val="8.0"/>
        <u/>
      </rPr>
      <t>Team Member Onboarding Form</t>
    </r>
    <r>
      <rPr>
        <rFont val="Montserrat"/>
        <sz val="8.0"/>
      </rPr>
      <t xml:space="preserve"> (via the "Ad Ops Team Directory (AOTD)" [Airtable] base).</t>
    </r>
  </si>
  <si>
    <r>
      <rPr>
        <rFont val="Montserrat"/>
        <color rgb="FF1155CC"/>
        <sz val="8.0"/>
        <u/>
      </rPr>
      <t>GroupID info</t>
    </r>
    <r>
      <rPr>
        <rFont val="Montserrat"/>
        <color rgb="FF000000"/>
        <sz val="8.0"/>
      </rPr>
      <t xml:space="preserve"> (see step 3 of the "Employee Onboarding Instructions" [extension]).</t>
    </r>
  </si>
  <si>
    <r>
      <rPr>
        <rFont val="Montserrat"/>
        <b/>
        <color theme="1"/>
        <sz val="8.0"/>
      </rPr>
      <t xml:space="preserve">Carlton Clemens's 2/4/25 Note: </t>
    </r>
    <r>
      <rPr>
        <rFont val="Montserrat"/>
        <color theme="1"/>
        <sz val="8.0"/>
      </rPr>
      <t>Just added her to our team &amp; associates' distros.</t>
    </r>
  </si>
  <si>
    <r>
      <rPr>
        <rFont val="Montserrat"/>
        <b/>
        <color theme="1"/>
        <sz val="8.0"/>
      </rPr>
      <t xml:space="preserve">Carlton Clemens's 2/4/25 Note: </t>
    </r>
    <r>
      <rPr>
        <rFont val="Montserrat"/>
        <color theme="1"/>
        <sz val="8.0"/>
      </rPr>
      <t>Just added her to all the Outlook invites I own.</t>
    </r>
  </si>
  <si>
    <r>
      <rPr>
        <rFont val="Montserrat"/>
        <b/>
        <color theme="1"/>
        <sz val="8.0"/>
      </rPr>
      <t xml:space="preserve">Carlton Clemens's 2/4/25 Note: </t>
    </r>
    <r>
      <rPr>
        <rFont val="Montserrat"/>
        <color theme="1"/>
        <sz val="8.0"/>
      </rPr>
      <t>Just added her as a member of the "Ad Ops" Teams team.</t>
    </r>
  </si>
  <si>
    <r>
      <rPr>
        <rFont val="Montserrat"/>
        <sz val="8.0"/>
      </rPr>
      <t xml:space="preserve">Add them to </t>
    </r>
    <r>
      <rPr>
        <rFont val="Montserrat"/>
        <color rgb="FF1155CC"/>
        <sz val="8.0"/>
        <u/>
      </rPr>
      <t>our team's Wiki</t>
    </r>
    <r>
      <rPr>
        <rFont val="Montserrat"/>
        <sz val="8.0"/>
      </rPr>
      <t xml:space="preserve"> by opening such + click "Space tools" (in the bottom left) &amp; then "Permissions" + click "Edit Permissions" in the "Individual Users" section + find &amp; add them + grant them all permissions save for the three rightmost ones + click "Save all" (at the bottom)</t>
    </r>
  </si>
  <si>
    <r>
      <rPr>
        <rFont val="Montserrat"/>
        <b/>
        <color theme="1"/>
        <sz val="8.0"/>
      </rPr>
      <t xml:space="preserve">Carlton Clemens's 2/4/25 Note: </t>
    </r>
    <r>
      <rPr>
        <rFont val="Montserrat"/>
        <color theme="1"/>
        <sz val="8.0"/>
      </rPr>
      <t>Just sent her an invite to the BOAT Club.</t>
    </r>
  </si>
  <si>
    <r>
      <rPr>
        <rFont val="Montserrat"/>
        <b/>
        <color theme="1"/>
        <sz val="8.0"/>
      </rPr>
      <t xml:space="preserve">Carlton Clemens's 2/4/25 Note: </t>
    </r>
    <r>
      <rPr>
        <rFont val="Montserrat"/>
        <color theme="1"/>
        <sz val="8.0"/>
      </rPr>
      <t>Just sent an access request on her behalf to the IAS team.</t>
    </r>
  </si>
  <si>
    <r>
      <rPr>
        <rFont val="Montserrat"/>
        <sz val="8.0"/>
      </rPr>
      <t xml:space="preserve">Add their DS email address as a (prod) EVE user </t>
    </r>
    <r>
      <rPr>
        <rFont val="Montserrat"/>
        <color rgb="FF1155CC"/>
        <sz val="8.0"/>
        <u/>
      </rPr>
      <t>here</t>
    </r>
    <r>
      <rPr>
        <rFont val="Montserrat"/>
        <sz val="8.0"/>
      </rPr>
      <t xml:space="preserve">. </t>
    </r>
  </si>
  <si>
    <r>
      <rPr>
        <rFont val="Montserrat"/>
        <sz val="8.0"/>
      </rPr>
      <t xml:space="preserve">Details at bottom of this </t>
    </r>
    <r>
      <rPr>
        <rFont val="Montserrat"/>
        <color rgb="FF1155CC"/>
        <sz val="8.0"/>
        <u/>
      </rPr>
      <t>wiki</t>
    </r>
    <r>
      <rPr>
        <rFont val="Montserrat"/>
        <sz val="8.0"/>
      </rPr>
      <t xml:space="preserve">. </t>
    </r>
  </si>
  <si>
    <t>Troubleshooting Form</t>
  </si>
  <si>
    <r>
      <rPr>
        <rFont val="Montserrat"/>
        <sz val="8.0"/>
      </rPr>
      <t xml:space="preserve">Ensure the </t>
    </r>
    <r>
      <rPr>
        <rFont val="Montserrat"/>
        <color rgb="FF1155CC"/>
        <sz val="8.0"/>
        <u/>
      </rPr>
      <t>Troubleshooting Form</t>
    </r>
    <r>
      <rPr>
        <rFont val="Montserrat"/>
        <sz val="8.0"/>
      </rPr>
      <t xml:space="preserve"> workflow is shared with the new hire</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</si>
  <si>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</si>
  <si>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</si>
  <si>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</si>
  <si>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t>Dan's Access Checklist</t>
  </si>
  <si>
    <r>
      <rPr>
        <rFont val="Montserrat"/>
        <i/>
        <color theme="1"/>
        <sz val="8.0"/>
      </rPr>
      <t>Pre-Hire:</t>
    </r>
    <r>
      <rPr>
        <rFont val="Montserrat"/>
        <color theme="1"/>
        <sz val="8.0"/>
      </rPr>
      <t xml:space="preserve"> Reach out to New Hire (FTE) or request info from agency (Contractor)</t>
    </r>
  </si>
  <si>
    <r>
      <rPr>
        <rFont val="Montserrat"/>
        <i/>
        <color theme="1"/>
        <sz val="8.0"/>
      </rPr>
      <t xml:space="preserve">Pre-Hire: </t>
    </r>
    <r>
      <rPr>
        <rFont val="Montserrat"/>
        <color theme="1"/>
        <sz val="8.0"/>
      </rPr>
      <t>Request Disney Email/LAN</t>
    </r>
  </si>
  <si>
    <r>
      <rPr>
        <rFont val="Montserrat"/>
        <color rgb="FF1155CC"/>
        <sz val="8.0"/>
        <u/>
      </rPr>
      <t>Request Network ID</t>
    </r>
    <r>
      <rPr>
        <rFont val="Montserrat"/>
        <sz val="8.0"/>
      </rPr>
      <t xml:space="preserve">. Must have Backstage Pass to access form. This will also automatically create a </t>
    </r>
    <r>
      <rPr>
        <rFont val="Montserrat"/>
        <color rgb="FF1155CC"/>
        <sz val="8.0"/>
        <u/>
      </rPr>
      <t>Disney Streaming</t>
    </r>
    <r>
      <rPr>
        <rFont val="Montserrat"/>
        <sz val="8.0"/>
      </rPr>
      <t xml:space="preserve"> onboarding ticket (if not, please submit one). No ticket watchers allowed.</t>
    </r>
  </si>
  <si>
    <r>
      <rPr>
        <rFont val="Montserrat"/>
        <i/>
        <color theme="1"/>
        <sz val="8.0"/>
      </rPr>
      <t>Pre-Hire:</t>
    </r>
    <r>
      <rPr>
        <rFont val="Montserrat"/>
        <color theme="1"/>
        <sz val="8.0"/>
      </rPr>
      <t xml:space="preserve"> Hardware Equipment</t>
    </r>
  </si>
  <si>
    <r>
      <rPr>
        <rFont val="Montserrat"/>
        <color rgb="FF1155CC"/>
        <sz val="8.0"/>
        <u/>
      </rPr>
      <t>DToolsIT</t>
    </r>
    <r>
      <rPr>
        <rFont val="Montserrat"/>
        <sz val="8.0"/>
      </rPr>
      <t>. A IT member will reach out for details and software requirements. Ticket watcher allowed.</t>
    </r>
  </si>
  <si>
    <r>
      <rPr>
        <rFont val="Montserrat"/>
        <i/>
        <color theme="1"/>
        <sz val="8.0"/>
      </rPr>
      <t xml:space="preserve">Pre-Hire: </t>
    </r>
    <r>
      <rPr>
        <rFont val="Montserrat"/>
        <color theme="1"/>
        <sz val="8.0"/>
      </rPr>
      <t>Blue Badge Request
Contractor - reach out to Global Security
FTE - Send headshot to Vanesa C. (Talent Acq Coordinator)</t>
    </r>
  </si>
  <si>
    <r>
      <rPr>
        <rFont val="Montserrat"/>
        <color rgb="FF1155CC"/>
        <sz val="8.0"/>
        <u/>
      </rPr>
      <t>Disney Global Security</t>
    </r>
    <r>
      <rPr>
        <rFont val="Montserrat"/>
        <sz val="8.0"/>
      </rPr>
      <t>. Complete form and upload headshot. No ticket watcher allowed.</t>
    </r>
  </si>
  <si>
    <r>
      <rPr>
        <rFont val="Montserrat"/>
        <i/>
        <color theme="1"/>
        <sz val="8.0"/>
      </rPr>
      <t>Pre-Hire:</t>
    </r>
    <r>
      <rPr>
        <rFont val="Montserrat"/>
        <color theme="1"/>
        <sz val="8.0"/>
      </rPr>
      <t xml:space="preserve"> 1211 AoA Badge Request</t>
    </r>
  </si>
  <si>
    <r>
      <rPr>
        <rFont val="Montserrat"/>
        <i/>
        <color theme="1"/>
        <sz val="8.0"/>
      </rPr>
      <t>Pre-Hire:</t>
    </r>
    <r>
      <rPr>
        <rFont val="Montserrat"/>
        <color theme="1"/>
        <sz val="8.0"/>
      </rPr>
      <t xml:space="preserve"> Remote Access Request</t>
    </r>
  </si>
  <si>
    <r>
      <rPr>
        <rFont val="Montserrat"/>
        <color rgb="FF1155CC"/>
        <sz val="8.0"/>
        <u/>
      </rPr>
      <t>Backstage Pass</t>
    </r>
    <r>
      <rPr>
        <rFont val="Montserrat"/>
        <sz val="8.0"/>
      </rPr>
      <t>. Ticket watcher allowed.</t>
    </r>
  </si>
  <si>
    <r>
      <rPr>
        <rFont val="Montserrat"/>
        <i/>
        <color theme="1"/>
        <sz val="8.0"/>
      </rPr>
      <t>Pre-Hire:</t>
    </r>
    <r>
      <rPr>
        <rFont val="Montserrat"/>
        <color theme="1"/>
        <sz val="8.0"/>
      </rPr>
      <t xml:space="preserve"> Disney Streaming account</t>
    </r>
  </si>
  <si>
    <r>
      <rPr>
        <rFont val="Montserrat"/>
        <sz val="8.0"/>
      </rPr>
      <t xml:space="preserve">Cut </t>
    </r>
    <r>
      <rPr>
        <rFont val="Montserrat"/>
        <color rgb="FF1155CC"/>
        <sz val="8.0"/>
        <u/>
      </rPr>
      <t>ticket</t>
    </r>
    <r>
      <rPr>
        <rFont val="Montserrat"/>
        <sz val="8.0"/>
      </rPr>
      <t xml:space="preserve"> for new hire to review </t>
    </r>
    <r>
      <rPr>
        <rFont val="Montserrat"/>
        <color rgb="FF1155CC"/>
        <sz val="8.0"/>
        <u/>
      </rPr>
      <t>the Paid Media New Hire slide deck</t>
    </r>
  </si>
  <si>
    <t>Access to Impact</t>
  </si>
  <si>
    <t>Reach out to NIck Ranelle on the Impact team for access</t>
  </si>
  <si>
    <t xml:space="preserve">Reach out to #ds-it-support-plus (on Slack) for help if GlobalProtect is not found w/i Self Service (on Mac). </t>
  </si>
  <si>
    <r>
      <rPr>
        <rFont val="Montserrat"/>
        <sz val="8.0"/>
      </rPr>
      <t xml:space="preserve">Fill out the </t>
    </r>
    <r>
      <rPr>
        <rFont val="Montserrat"/>
        <color rgb="FF1155CC"/>
        <sz val="8.0"/>
        <u/>
      </rPr>
      <t>Team Member Onboarding Form</t>
    </r>
    <r>
      <rPr>
        <rFont val="Montserrat"/>
        <sz val="8.0"/>
      </rPr>
      <t xml:space="preserve"> (via the "Ad Ops Team Directory (AOTD)" [Airtable] base).</t>
    </r>
  </si>
  <si>
    <r>
      <rPr>
        <rFont val="Montserrat"/>
        <color rgb="FF1155CC"/>
        <sz val="8.0"/>
        <u/>
      </rPr>
      <t>GroupID info</t>
    </r>
    <r>
      <rPr>
        <rFont val="Montserrat"/>
        <color rgb="FF000000"/>
        <sz val="8.0"/>
      </rPr>
      <t xml:space="preserve"> (see step 3 of the "Employee Onboarding Instructions" [extension]).</t>
    </r>
  </si>
  <si>
    <t xml:space="preserve">Buddy to follow up on the Slack channels mentioned in the Resources Tab. </t>
  </si>
  <si>
    <t>Email to use is dan.fernandez@ext.disneystreaming.com. Blocked pending Shah Bari's confirmation of Dan's actual DS email address.</t>
  </si>
  <si>
    <r>
      <rPr>
        <rFont val="Montserrat"/>
        <sz val="8.0"/>
      </rPr>
      <t xml:space="preserve">Add their DS email address as a (prod) EVE user </t>
    </r>
    <r>
      <rPr>
        <rFont val="Montserrat"/>
        <color rgb="FF1155CC"/>
        <sz val="8.0"/>
        <u/>
      </rPr>
      <t>here</t>
    </r>
    <r>
      <rPr>
        <rFont val="Montserrat"/>
        <sz val="8.0"/>
      </rPr>
      <t xml:space="preserve">. </t>
    </r>
  </si>
  <si>
    <t>Google Ads access still pending, created new ticket with correct email 9/17/24</t>
  </si>
  <si>
    <r>
      <rPr>
        <rFont val="Montserrat"/>
        <sz val="8.0"/>
      </rPr>
      <t xml:space="preserve">Details at bottom of this </t>
    </r>
    <r>
      <rPr>
        <rFont val="Montserrat"/>
        <color rgb="FF1155CC"/>
        <sz val="8.0"/>
        <u/>
      </rPr>
      <t>wiki</t>
    </r>
    <r>
      <rPr>
        <rFont val="Montserrat"/>
        <sz val="8.0"/>
      </rPr>
      <t xml:space="preserve">. </t>
    </r>
  </si>
  <si>
    <r>
      <rPr>
        <rFont val="Montserrat"/>
        <sz val="8.0"/>
      </rPr>
      <t xml:space="preserve">Email AtlassianSupport@disneystreaming.com for access to </t>
    </r>
    <r>
      <rPr>
        <rFont val="Montserrat"/>
        <color rgb="FF1155CC"/>
        <sz val="8.0"/>
        <u/>
      </rPr>
      <t>Payment Test Cards For End to End Testing</t>
    </r>
  </si>
  <si>
    <r>
      <rPr>
        <rFont val="Montserrat"/>
        <sz val="8.0"/>
      </rPr>
      <t xml:space="preserve">Email AtlassianSupport@disneystreaming.com for access to </t>
    </r>
    <r>
      <rPr>
        <rFont val="Montserrat"/>
        <color rgb="FF1155CC"/>
        <sz val="8.0"/>
        <u/>
      </rPr>
      <t>Paypal International Testing</t>
    </r>
  </si>
  <si>
    <r>
      <rPr>
        <rFont val="Montserrat"/>
        <sz val="8.0"/>
      </rPr>
      <t xml:space="preserve">Onboarding </t>
    </r>
    <r>
      <rPr>
        <rFont val="Montserrat"/>
        <color rgb="FF1155CC"/>
        <sz val="8.0"/>
        <u/>
      </rPr>
      <t>Info</t>
    </r>
  </si>
  <si>
    <t>Notion</t>
  </si>
  <si>
    <t>completed</t>
  </si>
  <si>
    <r>
      <rPr>
        <rFont val="Montserrat"/>
        <b/>
        <color rgb="FF1155CC"/>
        <sz val="8.0"/>
        <u/>
      </rPr>
      <t xml:space="preserve">Zoom Link
</t>
    </r>
    <r>
      <rPr>
        <rFont val="Montserrat"/>
        <b/>
        <sz val="8.0"/>
      </rPr>
      <t>Work Email: dan.fernandez@disney.com</t>
    </r>
  </si>
  <si>
    <t>Dan's Workshop Schedule</t>
  </si>
  <si>
    <t>Buddy - Ken</t>
  </si>
  <si>
    <r>
      <rPr>
        <rFont val="Montserrat"/>
        <color rgb="FF1155CC"/>
        <sz val="8.0"/>
        <u/>
      </rPr>
      <t>Intro to Airtable and Ticket Types</t>
    </r>
    <r>
      <rPr>
        <rFont val="Montserrat"/>
        <sz val="8.0"/>
      </rPr>
      <t xml:space="preserve">
</t>
    </r>
    <r>
      <rPr>
        <rFont val="Montserrat"/>
        <color rgb="FF1155CC"/>
        <sz val="8.0"/>
        <u/>
      </rPr>
      <t>AirTable Training Guide Comprehensive</t>
    </r>
  </si>
  <si>
    <r>
      <rPr>
        <rFont val="Montserrat"/>
        <sz val="8.0"/>
      </rPr>
      <t>- What is IAS?
- What is its function?
- Different Brand's Templates
- IAS Nuances in</t>
    </r>
    <r>
      <rPr>
        <rFont val="Montserrat"/>
        <color rgb="FF1155CC"/>
        <sz val="8.0"/>
        <u/>
      </rPr>
      <t xml:space="preserve"> Trafficking 101</t>
    </r>
    <r>
      <rPr>
        <rFont val="Montserrat"/>
        <sz val="8.0"/>
      </rPr>
      <t xml:space="preserve">
- Walk through IAS Platform &amp; Create TEST IAS Campaign to be used in Display Trainee Ticket (ex: New Hire's Test Campaign 2024)
- Check in on trainee's IAS access and follow up on access request if necessary</t>
    </r>
  </si>
  <si>
    <t>Ad Ops Homepage                                                                                                                                                                                                                                                                                                                                                                                                                                                                                                                                                   
 BOAT Ticket Template - https://airtable.com/appJO3dsNwYh3ty2b/shrrW17i6kjSyLEQw</t>
  </si>
  <si>
    <t>Monday</t>
  </si>
  <si>
    <r>
      <rPr>
        <rFont val="Montserrat"/>
        <color rgb="FF1155CC"/>
        <sz val="8.0"/>
        <u/>
      </rPr>
      <t>Smartly Campaign Brief</t>
    </r>
    <r>
      <rPr>
        <rFont val="Montserrat"/>
        <sz val="8.0"/>
      </rPr>
      <t xml:space="preserve">
</t>
    </r>
    <r>
      <rPr>
        <rFont val="Montserrat"/>
        <color rgb="FF1155CC"/>
        <sz val="8.0"/>
        <u/>
      </rPr>
      <t>Smartly Workflow</t>
    </r>
  </si>
  <si>
    <t>Michael, Rachel</t>
  </si>
  <si>
    <r>
      <rPr>
        <rFont val="Montserrat"/>
        <color rgb="FF1155CC"/>
        <sz val="8.0"/>
        <u/>
      </rPr>
      <t>Floodlight Wiki</t>
    </r>
    <r>
      <rPr>
        <rFont val="Montserrat"/>
        <sz val="8.0"/>
      </rPr>
      <t xml:space="preserve">
</t>
    </r>
    <r>
      <rPr>
        <rFont val="Montserrat"/>
        <color rgb="FF1155CC"/>
        <sz val="8.0"/>
        <u/>
      </rPr>
      <t>Floodlight Powerpoint</t>
    </r>
  </si>
  <si>
    <t>Laila, Audrey</t>
  </si>
  <si>
    <r>
      <rPr>
        <rFont val="Montserrat"/>
        <sz val="8.0"/>
      </rPr>
      <t>- Walk through the Adobe Site
- Walk through Adobe Wiki &amp; Common Processes
- Checkin on trainee's adobe access and follow up on access request if necessary 
-Adobe Launch Powerpoint</t>
    </r>
    <r>
      <rPr>
        <rFont val="Montserrat"/>
        <color rgb="FF1155CC"/>
        <sz val="8.0"/>
        <u/>
      </rPr>
      <t xml:space="preserve"> here</t>
    </r>
  </si>
  <si>
    <t>Sasha, Audrey</t>
  </si>
  <si>
    <t>Audrey, Sasha</t>
  </si>
  <si>
    <r>
      <rPr>
        <rFont val="Montserrat"/>
        <color rgb="FF1155CC"/>
        <sz val="8.0"/>
        <u/>
      </rPr>
      <t>Studio Tagging Example Ticket</t>
    </r>
    <r>
      <rPr>
        <rFont val="Montserrat"/>
        <sz val="8.0"/>
      </rPr>
      <t xml:space="preserve">
</t>
    </r>
    <r>
      <rPr>
        <rFont val="Montserrat"/>
        <color rgb="FF1155CC"/>
        <sz val="8.0"/>
        <u/>
      </rPr>
      <t>Push to Prod Example Ticket</t>
    </r>
  </si>
  <si>
    <t>- Walk through the trainer                                                                                                                                                                                                                                                                                                                                                                                                                                                                                                                                  - EVE ticket EVE is the future of trafficking, how is it impacted?</t>
  </si>
  <si>
    <t>Buddy Check In 3 (30 Day)</t>
  </si>
  <si>
    <r>
      <rPr>
        <b/>
        <color rgb="FF1155CC"/>
        <sz val="10.0"/>
        <u/>
      </rPr>
      <t xml:space="preserve">Zoom Link
</t>
    </r>
    <r>
      <rPr>
        <b/>
        <sz val="10.0"/>
      </rPr>
      <t xml:space="preserve">Work Email:
Personal Email (for emergencies): </t>
    </r>
  </si>
  <si>
    <t>Audrey's Workshop Schedule</t>
  </si>
  <si>
    <t>Sent Invite to Audrey</t>
  </si>
  <si>
    <t>5/7 - AT requested access</t>
  </si>
  <si>
    <t xml:space="preserve">Thursday </t>
  </si>
  <si>
    <t>Rachel                      Stella</t>
  </si>
  <si>
    <t>QA Display Ticket (2/2)</t>
  </si>
  <si>
    <t>Rachel                                                 Stella</t>
  </si>
  <si>
    <t>Maurice
Elizabeth</t>
  </si>
  <si>
    <t>Buddy Check In 1</t>
  </si>
  <si>
    <t>Kochava Wiki</t>
  </si>
  <si>
    <t>New Primary Validation Doc</t>
  </si>
  <si>
    <t>Laila, Rachel</t>
  </si>
  <si>
    <r>
      <rPr/>
      <t xml:space="preserve">- Walk through the Adobe Site
- Walk through Adobe </t>
    </r>
    <r>
      <rPr>
        <color rgb="FF1155CC"/>
        <u/>
      </rPr>
      <t>Wiki</t>
    </r>
    <r>
      <rPr/>
      <t xml:space="preserve"> &amp; Common Processes
- Checkin on trainee's adobe access and follow up on access request if necessary</t>
    </r>
  </si>
  <si>
    <t>Laura/Laila</t>
  </si>
  <si>
    <t>Knowledge Sharing Session</t>
  </si>
  <si>
    <t>Laila &amp; Shah</t>
  </si>
  <si>
    <t>Audrey's Access Checklist</t>
  </si>
  <si>
    <t>Carlton's 4/15/24 note: Don't think this applies anymore / to Audrey; Shah Bari to advise.</t>
  </si>
  <si>
    <t>Carlton's 4/15/24 note: Just added Audrey.Taite.-ND@disney.com to every recurring invite I own.</t>
  </si>
  <si>
    <t>Carlton's 4/15/24 note: Ntk her DS email address to proceed (CC: Shah Bari ).</t>
  </si>
  <si>
    <t>Grant access within CM360. Submit service ticket for @disneystreaming emails to be autoforwarded to @disney email.</t>
  </si>
  <si>
    <t>Carlton's 4/15/24 note: Just invited Audrey.Taite.-ND@disney.com to the BOAT but was not yet able to add her to the "Ad Ops" Airtable group, as searching for her email address in attempting to do so yielded no results.</t>
  </si>
  <si>
    <t>DV360 &amp; Yahoo DSP</t>
  </si>
  <si>
    <r>
      <rPr/>
      <t xml:space="preserve">Cut a </t>
    </r>
    <r>
      <rPr>
        <color rgb="FF1155CC"/>
        <u/>
      </rPr>
      <t>ticket</t>
    </r>
    <r>
      <rPr/>
      <t xml:space="preserve"> for the Display team. </t>
    </r>
  </si>
  <si>
    <t>Carlton's 4/15/24 note: Ntk her DS email address to proceed (CC: Shah Bari ).
Carlton's 5/14/24 note: Just cut this ticket; now just waiting for the Display team to fulfill it.</t>
  </si>
  <si>
    <r>
      <rPr/>
      <t xml:space="preserve">Details at bottom of this </t>
    </r>
    <r>
      <rPr>
        <color rgb="FF1155CC"/>
        <u/>
      </rPr>
      <t>wiki</t>
    </r>
    <r>
      <rPr/>
      <t xml:space="preserve">. </t>
    </r>
  </si>
  <si>
    <r>
      <rPr/>
      <t xml:space="preserve">Details at bottom of this </t>
    </r>
    <r>
      <rPr>
        <color rgb="FF1155CC"/>
        <u/>
      </rPr>
      <t>wiki</t>
    </r>
    <r>
      <rPr/>
      <t xml:space="preserve">. </t>
    </r>
  </si>
  <si>
    <r>
      <rPr/>
      <t xml:space="preserve">Onboarding </t>
    </r>
    <r>
      <rPr>
        <color rgb="FF1155CC"/>
        <u/>
      </rPr>
      <t>Info</t>
    </r>
  </si>
  <si>
    <r>
      <rPr>
        <b/>
        <color rgb="FF1155CC"/>
        <sz val="10.0"/>
        <u/>
      </rPr>
      <t xml:space="preserve">Zoom Link
</t>
    </r>
    <r>
      <rPr>
        <b/>
        <sz val="10.0"/>
      </rPr>
      <t>Work Email: rachel.mittenzwei@disney.com
Personal Email: rachelmittenzwei@gmail.com</t>
    </r>
  </si>
  <si>
    <t>Rachel's Mittenzwei Workshop Schedule</t>
  </si>
  <si>
    <t>Sent Out Timeblock</t>
  </si>
  <si>
    <t>- Buddy Introduction
- Resources Tab
- Ensure new hire has downloaded all the extensions under Essential Trafficking Tools
- Add new hire to all slack channels</t>
  </si>
  <si>
    <t>Ken Lin</t>
  </si>
  <si>
    <t>Georgie</t>
  </si>
  <si>
    <t>Jamie, Michael</t>
  </si>
  <si>
    <t>Laura, Stella</t>
  </si>
  <si>
    <t>Michael, Stella</t>
  </si>
  <si>
    <t>Ken (tentative)</t>
  </si>
  <si>
    <t>Ken, Laura</t>
  </si>
  <si>
    <r>
      <rPr/>
      <t xml:space="preserve">- Walk through the Adobe Site
- Walk through Adobe </t>
    </r>
    <r>
      <rPr>
        <color rgb="FF1155CC"/>
        <u/>
      </rPr>
      <t>Wiki</t>
    </r>
    <r>
      <rPr/>
      <t xml:space="preserve"> &amp; Common Processes
- Checkin on trainee's adobe access and follow up on access request if necessary</t>
    </r>
  </si>
  <si>
    <t xml:space="preserve">- tickets are going well, more opportunities to pick up tickets
- haven't been able to work on YouTube Tickets, more practice on those tickets
- </t>
  </si>
  <si>
    <t>Buddy/Manager Check - In</t>
  </si>
  <si>
    <t>Rachel's Access Checklist</t>
  </si>
  <si>
    <t>PM's Notes</t>
  </si>
  <si>
    <t>Irrelevant for Rachel.</t>
  </si>
  <si>
    <t>IT typically auto-adds new FTEs to our TWDC Slack workspace; waiting for them to do so — inc. adding Rachel to the DS Slack workspace (as of 1/23/24)— so Rachel can be added to the relevant Slack channels.</t>
  </si>
  <si>
    <r>
      <rPr/>
      <t xml:space="preserve">Cut a BOAT </t>
    </r>
    <r>
      <rPr>
        <color rgb="FF1155CC"/>
        <u/>
      </rPr>
      <t>ticket</t>
    </r>
    <r>
      <rPr/>
      <t xml:space="preserve"> or grant access within CM360.</t>
    </r>
  </si>
  <si>
    <r>
      <rPr/>
      <t xml:space="preserve">Cut a </t>
    </r>
    <r>
      <rPr>
        <color rgb="FF1155CC"/>
        <u/>
      </rPr>
      <t>ticket</t>
    </r>
    <r>
      <rPr/>
      <t xml:space="preserve"> for the Display team. </t>
    </r>
  </si>
  <si>
    <t>On 1/22/24: Just requested this access of the Display team.</t>
  </si>
  <si>
    <r>
      <rPr/>
      <t xml:space="preserve">Details at bottom of this </t>
    </r>
    <r>
      <rPr>
        <color rgb="FF1155CC"/>
        <u/>
      </rPr>
      <t>wiki</t>
    </r>
    <r>
      <rPr/>
      <t xml:space="preserve">. </t>
    </r>
  </si>
  <si>
    <r>
      <rPr/>
      <t xml:space="preserve">Details at bottom of this </t>
    </r>
    <r>
      <rPr>
        <color rgb="FF1155CC"/>
        <u/>
      </rPr>
      <t>wiki</t>
    </r>
    <r>
      <rPr/>
      <t xml:space="preserve">. </t>
    </r>
  </si>
  <si>
    <t>EM messaged Shah</t>
  </si>
  <si>
    <r>
      <rPr/>
      <t xml:space="preserve">Onboarding </t>
    </r>
    <r>
      <rPr>
        <color rgb="FF1155CC"/>
        <u/>
      </rPr>
      <t>Info</t>
    </r>
  </si>
  <si>
    <t>Name</t>
  </si>
  <si>
    <t>Planned Start Date</t>
  </si>
  <si>
    <t>Actual Start Date</t>
  </si>
  <si>
    <t>Sasha Sukdeo-Hausner</t>
  </si>
  <si>
    <t>Shah Bari</t>
  </si>
  <si>
    <t>Bianca Siu</t>
  </si>
  <si>
    <t>Kim Tran</t>
  </si>
  <si>
    <t>Betty Ng</t>
  </si>
  <si>
    <t>Dan Fernandez</t>
  </si>
  <si>
    <t>Instructions for Hiring Manager</t>
  </si>
  <si>
    <t>Step</t>
  </si>
  <si>
    <t>Before Pre-Hire Meeting</t>
  </si>
  <si>
    <t>Fill out Start Dates Tab</t>
  </si>
  <si>
    <t>Copy "Access Checklist (COPY ME)"</t>
  </si>
  <si>
    <t>Update Tab Name and Insert New Hire's Name where applicable</t>
  </si>
  <si>
    <t>Complete any Hiring Manager Tasks</t>
  </si>
  <si>
    <t>Copy "Workshop Schedule (COPY ME)"</t>
  </si>
  <si>
    <t>Insert work email and start date where applicable</t>
  </si>
  <si>
    <t>Ensure there are no conflicting dates for workshops and company holidays</t>
  </si>
  <si>
    <t xml:space="preserve">HIDE the (COPY ME) tabs. </t>
  </si>
  <si>
    <t>Designate a buddy</t>
  </si>
  <si>
    <t>Review info you want to share about the new hire</t>
  </si>
  <si>
    <t>Pre-Hire Meeting</t>
  </si>
  <si>
    <t>Go over details of new hire
- Role on the team
- Responsibilities
- Experience</t>
  </si>
  <si>
    <t>Review Workshop Schedule Dates &amp; Assign Workshop Owners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</si>
</sst>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h&quot;:&quot;mm&quot; &quot;am/pm"/>
    <numFmt numFmtId="166" formatCode="h:mm am/pm"/>
    <numFmt numFmtId="167" formatCode="m/d/yyyy"/>
  </numFmts>
  <fonts count="130">
    <font>
      <sz val="10.0"/>
      <color rgb="FF000000"/>
      <name val="Arial"/>
      <scheme val="minor"/>
    </font>
    <font>
      <b/>
      <sz val="8.0"/>
      <color theme="1"/>
      <name val="Montserrat"/>
    </font>
    <font>
      <sz val="8.0"/>
      <color theme="1"/>
      <name val="Montserrat"/>
    </font>
    <font>
      <b/>
      <u/>
      <sz val="8.0"/>
      <color rgb="FF0000FF"/>
      <name val="Montserrat"/>
    </font>
    <font>
      <b/>
      <sz val="11.0"/>
      <color theme="1"/>
      <name val="Montserrat"/>
    </font>
    <font/>
    <font>
      <sz val="8.0"/>
      <color rgb="FF000000"/>
      <name val="Montserrat"/>
    </font>
    <font>
      <u/>
      <sz val="8.0"/>
      <color rgb="FF0000FF"/>
      <name val="Montserrat"/>
    </font>
    <font>
      <u/>
      <sz val="8.0"/>
      <color rgb="FF0000FF"/>
      <name val="Montserrat"/>
    </font>
    <font>
      <u/>
      <sz val="8.0"/>
      <color rgb="FF0000FF"/>
      <name val="Montserrat"/>
    </font>
    <font>
      <u/>
      <sz val="8.0"/>
      <color rgb="FF1155CC"/>
      <name val="Montserrat"/>
    </font>
    <font>
      <u/>
      <sz val="8.0"/>
      <color rgb="FF0000FF"/>
      <name val="Montserrat"/>
    </font>
    <font>
      <u/>
      <sz val="8.0"/>
      <color rgb="FF0000FF"/>
      <name val="Montserrat"/>
    </font>
    <font>
      <color theme="1"/>
      <name val="Arial"/>
    </font>
    <font>
      <u/>
      <sz val="8.0"/>
      <color rgb="FF0000FF"/>
      <name val="Montserrat"/>
    </font>
    <font>
      <u/>
      <sz val="8.0"/>
      <color rgb="FF0000FF"/>
      <name val="Montserrat"/>
    </font>
    <font>
      <u/>
      <sz val="8.0"/>
      <color rgb="FF0000FF"/>
      <name val="Montserrat"/>
    </font>
    <font>
      <u/>
      <sz val="8.0"/>
      <color rgb="FF1155CC"/>
      <name val="Montserrat"/>
    </font>
    <font>
      <u/>
      <sz val="8.0"/>
      <color rgb="FF0000FF"/>
      <name val="Montserrat"/>
    </font>
    <font>
      <u/>
      <sz val="8.0"/>
      <color rgb="FF0000FF"/>
      <name val="Montserrat"/>
    </font>
    <font>
      <u/>
      <sz val="8.0"/>
      <color rgb="FF0000FF"/>
      <name val="Montserrat"/>
    </font>
    <font>
      <u/>
      <sz val="8.0"/>
      <color rgb="FF1155CC"/>
      <name val="Montserrat"/>
    </font>
    <font>
      <b/>
      <u/>
      <sz val="8.0"/>
      <color rgb="FF0000FF"/>
      <name val="Montserrat"/>
    </font>
    <font>
      <u/>
      <sz val="8.0"/>
      <color rgb="FF0000FF"/>
      <name val="Montserrat"/>
    </font>
    <font>
      <b/>
      <sz val="20.0"/>
      <color theme="1"/>
      <name val="Montserrat"/>
    </font>
    <font>
      <b/>
      <color theme="1"/>
      <name val="Montserrat"/>
    </font>
    <font>
      <color theme="1"/>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sz val="8.0"/>
      <color rgb="FF000000"/>
      <name val="Docs-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sz val="8.0"/>
      <color theme="1"/>
      <name val="Arial"/>
      <scheme val="minor"/>
    </font>
    <font>
      <u/>
      <sz val="8.0"/>
      <color rgb="FF1155CC"/>
    </font>
    <font>
      <u/>
      <sz val="8.0"/>
      <color rgb="FF1155CC"/>
      <name val="Montserrat"/>
    </font>
    <font>
      <u/>
      <sz val="8.0"/>
      <color rgb="FF0000FF"/>
      <name val="Montserrat"/>
    </font>
    <font>
      <u/>
      <sz val="8.0"/>
      <color rgb="FF1155CC"/>
      <name val="Montserrat"/>
    </font>
    <font>
      <u/>
      <sz val="8.0"/>
      <color rgb="FF0000FF"/>
      <name val="Montserrat"/>
    </font>
    <font>
      <color theme="1"/>
      <name val="Arial"/>
      <scheme val="minor"/>
    </font>
    <font>
      <u/>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b/>
      <sz val="8.0"/>
      <color rgb="FF000000"/>
      <name val="Montserrat"/>
    </font>
    <font>
      <i/>
      <sz val="8.0"/>
      <color theme="1"/>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0000FF"/>
      <name val="Montserrat"/>
    </font>
    <font>
      <u/>
      <sz val="8.0"/>
      <color rgb="FF1155CC"/>
      <name val="Montserrat"/>
    </font>
    <font>
      <u/>
      <sz val="8.0"/>
      <color rgb="FF0000FF"/>
      <name val="Montserrat"/>
    </font>
    <font>
      <b/>
      <sz val="20.0"/>
      <color theme="1"/>
      <name val="Arial"/>
      <scheme val="minor"/>
    </font>
    <font>
      <b/>
      <color theme="1"/>
      <name val="Arial"/>
      <scheme val="minor"/>
    </font>
    <font>
      <u/>
      <color rgb="FF0000FF"/>
    </font>
    <font>
      <u/>
      <color rgb="FF0000FF"/>
    </font>
    <font>
      <u/>
      <color rgb="FF0000FF"/>
    </font>
    <font>
      <u/>
      <color rgb="FF0000FF"/>
    </font>
    <font>
      <u/>
      <color rgb="FF0000FF"/>
    </font>
    <font>
      <b/>
      <u/>
      <sz val="10.0"/>
      <color rgb="FF0000FF"/>
    </font>
    <font>
      <b/>
      <sz val="24.0"/>
      <color theme="1"/>
      <name val="Arial"/>
      <scheme val="minor"/>
    </font>
    <font>
      <b/>
      <sz val="12.0"/>
      <color theme="1"/>
      <name val="Arial"/>
      <scheme val="minor"/>
    </font>
    <font>
      <color rgb="FF000000"/>
      <name val="Arial"/>
    </font>
    <font>
      <u/>
      <color rgb="FF0000FF"/>
    </font>
    <font>
      <u/>
      <color rgb="FF0000FF"/>
    </font>
    <font>
      <u/>
      <color rgb="FF0000FF"/>
    </font>
    <font>
      <u/>
      <color rgb="FF0000FF"/>
    </font>
    <font>
      <u/>
      <color rgb="FF0000FF"/>
    </font>
    <font>
      <u/>
      <color rgb="FF0000FF"/>
    </font>
    <font>
      <u/>
      <color rgb="FF0000FF"/>
    </font>
    <font>
      <u/>
      <color rgb="FF0000FF"/>
    </font>
    <font>
      <b/>
      <strike/>
      <sz val="12.0"/>
      <color theme="1"/>
      <name val="Arial"/>
      <scheme val="minor"/>
    </font>
    <font>
      <strike/>
      <color theme="1"/>
      <name val="Arial"/>
      <scheme val="minor"/>
    </font>
    <font>
      <strike/>
      <color rgb="FF0000FF"/>
    </font>
    <font>
      <u/>
      <color rgb="FF0000FF"/>
    </font>
    <font>
      <u/>
      <color rgb="FF1155CC"/>
    </font>
    <font>
      <u/>
      <color rgb="FF0000FF"/>
    </font>
    <font>
      <u/>
      <color rgb="FF0000FF"/>
    </font>
    <font>
      <b/>
      <u/>
      <sz val="10.0"/>
      <color rgb="FF0000FF"/>
    </font>
    <font>
      <u/>
      <color rgb="FF0000FF"/>
    </font>
    <font>
      <u/>
      <color rgb="FF0000FF"/>
    </font>
    <font>
      <u/>
      <color rgb="FF0000FF"/>
    </font>
    <font>
      <u/>
      <color rgb="FF0000FF"/>
    </font>
    <font>
      <u/>
      <color rgb="FF0000FF"/>
    </font>
    <font>
      <u/>
      <color rgb="FF0000FF"/>
    </font>
    <font>
      <u/>
      <color rgb="FF1155CC"/>
    </font>
    <font>
      <u/>
      <color rgb="FF0000FF"/>
    </font>
    <font>
      <u/>
      <color theme="1"/>
      <name val="Arial"/>
      <scheme val="minor"/>
    </font>
    <font>
      <u/>
      <sz val="8.0"/>
      <color rgb="FF0000FF"/>
      <name val="Montserrat"/>
    </font>
    <font>
      <strike/>
      <sz val="8.0"/>
      <color theme="1"/>
      <name val="Montserrat"/>
    </font>
    <font>
      <b/>
      <strike/>
      <sz val="8.0"/>
      <color theme="1"/>
      <name val="Montserrat"/>
    </font>
    <font>
      <strike/>
      <sz val="8.0"/>
      <color rgb="FF0000FF"/>
      <name val="Montserrat"/>
    </font>
    <font>
      <u/>
      <sz val="8.0"/>
      <color rgb="FF0000FF"/>
      <name val="Montserrat"/>
    </font>
    <font>
      <u/>
      <sz val="8.0"/>
      <color rgb="FF0000FF"/>
      <name val="Montserrat"/>
    </font>
    <font>
      <u/>
      <sz val="8.0"/>
      <color rgb="FF0000FF"/>
      <name val="Montserrat"/>
    </font>
    <font>
      <u/>
      <sz val="8.0"/>
      <color rgb="FF1155CC"/>
      <name val="Montserrat"/>
    </font>
    <font>
      <u/>
      <sz val="8.0"/>
      <color rgb="FF0000FF"/>
      <name val="Montserrat"/>
    </font>
    <font>
      <u/>
      <sz val="8.0"/>
      <color rgb="FF0000FF"/>
      <name val="Montserrat"/>
    </font>
    <font>
      <u/>
      <sz val="8.0"/>
      <color rgb="FF0000FF"/>
      <name val="Montserrat"/>
    </font>
    <font>
      <u/>
      <sz val="8.0"/>
      <color theme="1"/>
      <name val="Montserrat"/>
    </font>
    <font>
      <u/>
      <sz val="8.0"/>
      <color theme="1"/>
      <name val="Montserrat"/>
    </font>
    <font>
      <u/>
      <sz val="8.0"/>
      <color theme="1"/>
      <name val="Montserrat"/>
    </font>
    <font>
      <u/>
      <sz val="8.0"/>
      <color rgb="FF0000FF"/>
      <name val="Montserrat"/>
    </font>
    <font>
      <u/>
      <sz val="8.0"/>
      <color rgb="FF0000FF"/>
      <name val="Montserrat"/>
    </font>
    <font>
      <b/>
      <u/>
      <color rgb="FF0000FF"/>
    </font>
    <font>
      <b/>
      <u/>
      <sz val="10.0"/>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rgb="FF0000FF"/>
    </font>
    <font>
      <u/>
      <color theme="1"/>
      <name val="Arial"/>
      <scheme val="minor"/>
    </font>
    <font>
      <u/>
      <color theme="1"/>
      <name val="Arial"/>
      <scheme val="minor"/>
    </font>
    <font>
      <b/>
      <sz val="12.0"/>
      <color rgb="FF000000"/>
      <name val="Arial"/>
      <scheme val="minor"/>
    </font>
  </fonts>
  <fills count="23">
    <fill>
      <patternFill patternType="none"/>
    </fill>
    <fill>
      <patternFill patternType="lightGray"/>
    </fill>
    <fill>
      <patternFill patternType="solid">
        <fgColor rgb="FFF7CB4D"/>
        <bgColor rgb="FFF7CB4D"/>
      </patternFill>
    </fill>
    <fill>
      <patternFill patternType="solid">
        <fgColor rgb="FFFFFFFF"/>
        <bgColor rgb="FFFFFFFF"/>
      </patternFill>
    </fill>
    <fill>
      <patternFill patternType="solid">
        <fgColor rgb="FFFEF8E3"/>
        <bgColor rgb="FFFEF8E3"/>
      </patternFill>
    </fill>
    <fill>
      <patternFill patternType="solid">
        <fgColor rgb="FF78909C"/>
        <bgColor rgb="FF78909C"/>
      </patternFill>
    </fill>
    <fill>
      <patternFill patternType="solid">
        <fgColor rgb="FFEBEFF1"/>
        <bgColor rgb="FFEBEFF1"/>
      </patternFill>
    </fill>
    <fill>
      <patternFill patternType="solid">
        <fgColor rgb="FF63D297"/>
        <bgColor rgb="FF63D297"/>
      </patternFill>
    </fill>
    <fill>
      <patternFill patternType="solid">
        <fgColor rgb="FFE7F9EF"/>
        <bgColor rgb="FFE7F9EF"/>
      </patternFill>
    </fill>
    <fill>
      <patternFill patternType="solid">
        <fgColor theme="6"/>
        <bgColor theme="6"/>
      </patternFill>
    </fill>
    <fill>
      <patternFill patternType="solid">
        <fgColor theme="5"/>
        <bgColor theme="5"/>
      </patternFill>
    </fill>
    <fill>
      <patternFill patternType="solid">
        <fgColor theme="9"/>
        <bgColor theme="9"/>
      </patternFill>
    </fill>
    <fill>
      <patternFill patternType="solid">
        <fgColor rgb="FFD0E0E3"/>
        <bgColor rgb="FFD0E0E3"/>
      </patternFill>
    </fill>
    <fill>
      <patternFill patternType="solid">
        <fgColor rgb="FF4285F4"/>
        <bgColor rgb="FF4285F4"/>
      </patternFill>
    </fill>
    <fill>
      <patternFill patternType="solid">
        <fgColor theme="4"/>
        <bgColor theme="4"/>
      </patternFill>
    </fill>
    <fill>
      <patternFill patternType="solid">
        <fgColor rgb="FFB4A7D6"/>
        <bgColor rgb="FFB4A7D6"/>
      </patternFill>
    </fill>
    <fill>
      <patternFill patternType="solid">
        <fgColor rgb="FFF46524"/>
        <bgColor rgb="FFF46524"/>
      </patternFill>
    </fill>
    <fill>
      <patternFill patternType="solid">
        <fgColor rgb="FFFFE6DD"/>
        <bgColor rgb="FFFFE6DD"/>
      </patternFill>
    </fill>
    <fill>
      <patternFill patternType="solid">
        <fgColor rgb="FF26A69A"/>
        <bgColor rgb="FF26A69A"/>
      </patternFill>
    </fill>
    <fill>
      <patternFill patternType="solid">
        <fgColor rgb="FFDDF2F0"/>
        <bgColor rgb="FFDDF2F0"/>
      </patternFill>
    </fill>
    <fill>
      <patternFill patternType="solid">
        <fgColor rgb="FFFFF2CC"/>
        <bgColor rgb="FFFFF2CC"/>
      </patternFill>
    </fill>
    <fill>
      <patternFill patternType="solid">
        <fgColor rgb="FF4DD0E1"/>
        <bgColor rgb="FF4DD0E1"/>
      </patternFill>
    </fill>
    <fill>
      <patternFill patternType="solid">
        <fgColor rgb="FFE0F7FA"/>
        <bgColor rgb="FFE0F7FA"/>
      </patternFill>
    </fill>
  </fills>
  <borders count="50">
    <border/>
    <border>
      <left style="thin">
        <color rgb="FF999999"/>
      </left>
      <top style="thin">
        <color rgb="FF999999"/>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right style="thin">
        <color rgb="FFB7B7B7"/>
      </right>
      <top style="thin">
        <color rgb="FFB7B7B7"/>
      </top>
    </border>
    <border>
      <left style="hair">
        <color rgb="FF000000"/>
      </left>
      <right style="hair">
        <color rgb="FF000000"/>
      </right>
      <top style="hair">
        <color rgb="FF000000"/>
      </top>
      <bottom style="hair">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right style="thin">
        <color rgb="FF000000"/>
      </right>
      <top style="thin">
        <color rgb="FF000000"/>
      </top>
    </border>
    <border>
      <left style="thin">
        <color rgb="FF000000"/>
      </left>
      <right style="thin">
        <color rgb="FF000000"/>
      </right>
      <bottom style="thin">
        <color rgb="FF000000"/>
      </bottom>
    </border>
    <border>
      <left style="thin">
        <color rgb="FF000000"/>
      </lef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left style="thin">
        <color rgb="FF000000"/>
      </left>
      <right style="thin">
        <color rgb="FF000000"/>
      </right>
      <top style="thin">
        <color rgb="FF999999"/>
      </top>
    </border>
    <border>
      <top style="thin">
        <color rgb="FF999999"/>
      </top>
    </border>
    <border>
      <right style="thin">
        <color rgb="FF000000"/>
      </right>
      <top style="thin">
        <color rgb="FF999999"/>
      </top>
    </border>
    <border>
      <left style="thin">
        <color rgb="FF000000"/>
      </left>
      <right style="thin">
        <color rgb="FF000000"/>
      </right>
      <bottom style="thin">
        <color rgb="FF999999"/>
      </bottom>
    </border>
    <border>
      <bottom style="thin">
        <color rgb="FF999999"/>
      </bottom>
    </border>
    <border>
      <right style="thin">
        <color rgb="FF000000"/>
      </right>
      <bottom style="thin">
        <color rgb="FF999999"/>
      </bottom>
    </border>
    <border>
      <bottom style="thin">
        <color rgb="FF000000"/>
      </bottom>
    </border>
    <border>
      <left style="thin">
        <color rgb="FF999999"/>
      </left>
      <right style="thin">
        <color rgb="FF999999"/>
      </right>
      <top style="thin">
        <color rgb="FF999999"/>
      </top>
    </border>
    <border>
      <left style="thin">
        <color rgb="FF999999"/>
      </left>
      <right style="thin">
        <color rgb="FF999999"/>
      </right>
    </border>
    <border>
      <left style="thin">
        <color rgb="FF999999"/>
      </left>
    </border>
    <border>
      <right style="thin">
        <color rgb="FF999999"/>
      </right>
    </border>
    <border>
      <left style="thin">
        <color rgb="FF999999"/>
      </left>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bottom style="thin">
        <color rgb="FF999999"/>
      </bottom>
    </border>
    <border>
      <right style="thin">
        <color rgb="FF999999"/>
      </right>
      <bottom style="thin">
        <color rgb="FF999999"/>
      </bottom>
    </border>
    <border>
      <bottom style="thin">
        <color rgb="FF666666"/>
      </bottom>
    </border>
    <border>
      <top style="thin">
        <color rgb="FF666666"/>
      </top>
    </border>
    <border>
      <right style="thin">
        <color rgb="FF999999"/>
      </right>
      <top style="thin">
        <color rgb="FF999999"/>
      </top>
    </border>
  </borders>
  <cellStyleXfs count="1">
    <xf borderId="0" fillId="0" fontId="0" numFmtId="0" applyAlignment="1" applyFont="1"/>
  </cellStyleXfs>
  <cellXfs count="6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2" numFmtId="0" xfId="0" applyFont="1"/>
    <xf borderId="0" fillId="0" fontId="1" numFmtId="0" xfId="0" applyAlignment="1" applyFont="1">
      <alignment horizontal="left" readingOrder="0"/>
    </xf>
    <xf borderId="0" fillId="0" fontId="1" numFmtId="0" xfId="0" applyAlignment="1" applyFont="1">
      <alignment readingOrder="0" shrinkToFit="0" wrapText="1"/>
    </xf>
    <xf borderId="0" fillId="0" fontId="2" numFmtId="164" xfId="0" applyAlignment="1" applyFont="1" applyNumberFormat="1">
      <alignment readingOrder="0"/>
    </xf>
    <xf borderId="1" fillId="2" fontId="3" numFmtId="0" xfId="0" applyAlignment="1" applyBorder="1" applyFill="1" applyFont="1">
      <alignment readingOrder="0"/>
    </xf>
    <xf borderId="0" fillId="2" fontId="4" numFmtId="0" xfId="0" applyAlignment="1" applyFont="1">
      <alignment horizontal="center" readingOrder="0" vertical="center"/>
    </xf>
    <xf borderId="2" fillId="2" fontId="4" numFmtId="0" xfId="0" applyAlignment="1" applyBorder="1" applyFont="1">
      <alignment horizontal="center" readingOrder="0" vertical="center"/>
    </xf>
    <xf borderId="3" fillId="2" fontId="5" numFmtId="0" xfId="0" applyBorder="1" applyFont="1"/>
    <xf borderId="4" fillId="2" fontId="5" numFmtId="0" xfId="0" applyBorder="1" applyFont="1"/>
    <xf borderId="5" fillId="3" fontId="1" numFmtId="0" xfId="0" applyAlignment="1" applyBorder="1" applyFill="1" applyFont="1">
      <alignment readingOrder="0"/>
    </xf>
    <xf borderId="5" fillId="3" fontId="1" numFmtId="0" xfId="0" applyAlignment="1" applyBorder="1" applyFont="1">
      <alignment horizontal="center" readingOrder="0"/>
    </xf>
    <xf borderId="5" fillId="3" fontId="1" numFmtId="0" xfId="0" applyAlignment="1" applyBorder="1" applyFont="1">
      <alignment horizontal="left" readingOrder="0"/>
    </xf>
    <xf borderId="5" fillId="3" fontId="1" numFmtId="0" xfId="0" applyAlignment="1" applyBorder="1" applyFont="1">
      <alignment readingOrder="0" shrinkToFit="0" wrapText="1"/>
    </xf>
    <xf borderId="0" fillId="0" fontId="2" numFmtId="0" xfId="0" applyAlignment="1" applyFont="1">
      <alignment horizontal="left" readingOrder="0" vertical="center"/>
    </xf>
    <xf borderId="6" fillId="4" fontId="1" numFmtId="0" xfId="0" applyAlignment="1" applyBorder="1" applyFill="1" applyFont="1">
      <alignment horizontal="left" readingOrder="0" shrinkToFit="0" vertical="center" wrapText="1"/>
    </xf>
    <xf borderId="7" fillId="4" fontId="2" numFmtId="0" xfId="0" applyAlignment="1" applyBorder="1" applyFont="1">
      <alignment horizontal="center" readingOrder="0" vertical="center"/>
    </xf>
    <xf borderId="7" fillId="4" fontId="2" numFmtId="0" xfId="0" applyAlignment="1" applyBorder="1" applyFont="1">
      <alignment horizontal="left" readingOrder="0" vertical="center"/>
    </xf>
    <xf borderId="7" fillId="4" fontId="2" numFmtId="164" xfId="0" applyAlignment="1" applyBorder="1" applyFont="1" applyNumberFormat="1">
      <alignment horizontal="left" readingOrder="0" vertical="center"/>
    </xf>
    <xf borderId="7" fillId="4" fontId="2" numFmtId="165" xfId="0" applyAlignment="1" applyBorder="1" applyFont="1" applyNumberFormat="1">
      <alignment horizontal="left" readingOrder="0" vertical="center"/>
    </xf>
    <xf borderId="7" fillId="4" fontId="2" numFmtId="0" xfId="0" applyAlignment="1" applyBorder="1" applyFont="1">
      <alignment horizontal="left" vertical="center"/>
    </xf>
    <xf borderId="7" fillId="4" fontId="6" numFmtId="0" xfId="0" applyAlignment="1" applyBorder="1" applyFont="1">
      <alignment horizontal="left" readingOrder="0" shrinkToFit="0" vertical="center" wrapText="1"/>
    </xf>
    <xf borderId="8" fillId="4" fontId="2" numFmtId="0" xfId="0" applyAlignment="1" applyBorder="1" applyFont="1">
      <alignment horizontal="left" readingOrder="0" vertical="center"/>
    </xf>
    <xf borderId="9" fillId="3" fontId="1" numFmtId="0" xfId="0" applyAlignment="1" applyBorder="1" applyFont="1">
      <alignment horizontal="left" readingOrder="0" shrinkToFit="0" vertical="center" wrapText="1"/>
    </xf>
    <xf borderId="7" fillId="3" fontId="2" numFmtId="0" xfId="0" applyAlignment="1" applyBorder="1" applyFont="1">
      <alignment horizontal="center" readingOrder="0" vertical="center"/>
    </xf>
    <xf borderId="0" fillId="3" fontId="2" numFmtId="0" xfId="0" applyAlignment="1" applyFont="1">
      <alignment horizontal="left" readingOrder="0" vertical="center"/>
    </xf>
    <xf borderId="0" fillId="3" fontId="2" numFmtId="164" xfId="0" applyAlignment="1" applyFont="1" applyNumberFormat="1">
      <alignment horizontal="left" readingOrder="0" vertical="center"/>
    </xf>
    <xf borderId="0" fillId="3" fontId="2" numFmtId="165" xfId="0" applyAlignment="1" applyFont="1" applyNumberFormat="1">
      <alignment horizontal="left" readingOrder="0" vertical="center"/>
    </xf>
    <xf borderId="0" fillId="3" fontId="2" numFmtId="0" xfId="0" applyAlignment="1" applyFont="1">
      <alignment horizontal="left" vertical="center"/>
    </xf>
    <xf borderId="0" fillId="3" fontId="2" numFmtId="0" xfId="0" applyAlignment="1" applyFont="1">
      <alignment horizontal="left" readingOrder="0" shrinkToFit="0" vertical="center" wrapText="1"/>
    </xf>
    <xf borderId="0" fillId="3" fontId="7" numFmtId="0" xfId="0" applyAlignment="1" applyFont="1">
      <alignment horizontal="left" readingOrder="0" vertical="center"/>
    </xf>
    <xf borderId="10" fillId="3" fontId="2" numFmtId="0" xfId="0" applyAlignment="1" applyBorder="1" applyFont="1">
      <alignment horizontal="left" readingOrder="0" vertical="center"/>
    </xf>
    <xf borderId="9" fillId="4" fontId="1" numFmtId="0" xfId="0" applyAlignment="1" applyBorder="1" applyFont="1">
      <alignment horizontal="left" readingOrder="0" shrinkToFit="0" vertical="center" wrapText="1"/>
    </xf>
    <xf borderId="0" fillId="4" fontId="2" numFmtId="0" xfId="0" applyAlignment="1" applyFont="1">
      <alignment horizontal="left" readingOrder="0" vertical="center"/>
    </xf>
    <xf borderId="0" fillId="4" fontId="2" numFmtId="164" xfId="0" applyAlignment="1" applyFont="1" applyNumberFormat="1">
      <alignment horizontal="left" readingOrder="0" vertical="center"/>
    </xf>
    <xf borderId="0" fillId="4" fontId="2" numFmtId="165" xfId="0" applyAlignment="1" applyFont="1" applyNumberFormat="1">
      <alignment horizontal="left" readingOrder="0" vertical="center"/>
    </xf>
    <xf borderId="0" fillId="4" fontId="2" numFmtId="0" xfId="0" applyAlignment="1" applyFont="1">
      <alignment horizontal="left" vertical="center"/>
    </xf>
    <xf borderId="0" fillId="4" fontId="2" numFmtId="0" xfId="0" applyAlignment="1" applyFont="1">
      <alignment horizontal="left" readingOrder="0" shrinkToFit="0" vertical="center" wrapText="1"/>
    </xf>
    <xf borderId="0" fillId="4" fontId="8" numFmtId="0" xfId="0" applyAlignment="1" applyFont="1">
      <alignment horizontal="left" readingOrder="0" vertical="center"/>
    </xf>
    <xf borderId="10" fillId="4" fontId="2" numFmtId="0" xfId="0" applyAlignment="1" applyBorder="1" applyFont="1">
      <alignment horizontal="left" readingOrder="0" vertical="center"/>
    </xf>
    <xf borderId="0" fillId="4" fontId="9" numFmtId="0" xfId="0" applyAlignment="1" applyFont="1">
      <alignment horizontal="left" readingOrder="0" shrinkToFit="0" vertical="center" wrapText="1"/>
    </xf>
    <xf borderId="10" fillId="3" fontId="2" numFmtId="0" xfId="0" applyAlignment="1" applyBorder="1" applyFont="1">
      <alignment horizontal="left" readingOrder="0" vertical="center"/>
    </xf>
    <xf borderId="0" fillId="3" fontId="2" numFmtId="0" xfId="0" applyAlignment="1" applyFont="1">
      <alignment horizontal="left" readingOrder="0" vertical="center"/>
    </xf>
    <xf borderId="0" fillId="3" fontId="10" numFmtId="0" xfId="0" applyAlignment="1" applyFont="1">
      <alignment horizontal="left" readingOrder="0" vertical="center"/>
    </xf>
    <xf borderId="0" fillId="4" fontId="2" numFmtId="0" xfId="0" applyAlignment="1" applyFont="1">
      <alignment horizontal="left" readingOrder="0" vertical="center"/>
    </xf>
    <xf borderId="10" fillId="4" fontId="2" numFmtId="0" xfId="0" applyAlignment="1" applyBorder="1" applyFont="1">
      <alignment horizontal="left" readingOrder="0" vertical="center"/>
    </xf>
    <xf borderId="0" fillId="3" fontId="11" numFmtId="0" xfId="0" applyAlignment="1" applyFont="1">
      <alignment horizontal="left" readingOrder="0" shrinkToFit="0" vertical="center" wrapText="1"/>
    </xf>
    <xf borderId="0" fillId="3" fontId="2" numFmtId="166" xfId="0" applyAlignment="1" applyFont="1" applyNumberFormat="1">
      <alignment horizontal="left" readingOrder="0" vertical="center"/>
    </xf>
    <xf borderId="9" fillId="4" fontId="1" numFmtId="0" xfId="0" applyAlignment="1" applyBorder="1" applyFont="1">
      <alignment shrinkToFit="0" vertical="center" wrapText="1"/>
    </xf>
    <xf borderId="0" fillId="4" fontId="2" numFmtId="0" xfId="0" applyAlignment="1" applyFont="1">
      <alignment horizontal="center" vertical="center"/>
    </xf>
    <xf borderId="0" fillId="4" fontId="2" numFmtId="0" xfId="0" applyAlignment="1" applyFont="1">
      <alignment vertical="center"/>
    </xf>
    <xf borderId="0" fillId="4" fontId="2" numFmtId="164" xfId="0" applyAlignment="1" applyFont="1" applyNumberFormat="1">
      <alignment vertical="center"/>
    </xf>
    <xf borderId="0" fillId="4" fontId="2" numFmtId="166" xfId="0" applyAlignment="1" applyFont="1" applyNumberFormat="1">
      <alignment vertical="center"/>
    </xf>
    <xf borderId="0" fillId="4" fontId="2" numFmtId="165" xfId="0" applyAlignment="1" applyFont="1" applyNumberFormat="1">
      <alignment vertical="center"/>
    </xf>
    <xf borderId="0" fillId="4" fontId="2" numFmtId="0" xfId="0" applyAlignment="1" applyFont="1">
      <alignment vertical="center"/>
    </xf>
    <xf borderId="0" fillId="4" fontId="2" numFmtId="0" xfId="0" applyAlignment="1" applyFont="1">
      <alignment readingOrder="0" shrinkToFit="0" vertical="center" wrapText="1"/>
    </xf>
    <xf borderId="0" fillId="4" fontId="12" numFmtId="0" xfId="0" applyAlignment="1" applyFont="1">
      <alignment readingOrder="0" vertical="center"/>
    </xf>
    <xf borderId="0" fillId="4" fontId="13" numFmtId="0" xfId="0" applyAlignment="1" applyFont="1">
      <alignment vertical="center"/>
    </xf>
    <xf borderId="10" fillId="4" fontId="2" numFmtId="0" xfId="0" applyAlignment="1" applyBorder="1" applyFont="1">
      <alignment vertical="center"/>
    </xf>
    <xf borderId="0" fillId="0" fontId="2" numFmtId="0" xfId="0" applyAlignment="1" applyFont="1">
      <alignment horizontal="left" vertical="center"/>
    </xf>
    <xf borderId="0" fillId="4" fontId="2" numFmtId="167" xfId="0" applyAlignment="1" applyFont="1" applyNumberFormat="1">
      <alignment horizontal="left" readingOrder="0" vertical="center"/>
    </xf>
    <xf borderId="0" fillId="4" fontId="2" numFmtId="166" xfId="0" applyAlignment="1" applyFont="1" applyNumberFormat="1">
      <alignment horizontal="left" readingOrder="0" vertical="center"/>
    </xf>
    <xf borderId="11" fillId="3" fontId="1" numFmtId="0" xfId="0" applyAlignment="1" applyBorder="1" applyFont="1">
      <alignment horizontal="left" readingOrder="0" shrinkToFit="0" vertical="center" wrapText="1"/>
    </xf>
    <xf borderId="12" fillId="3" fontId="2" numFmtId="0" xfId="0" applyAlignment="1" applyBorder="1" applyFont="1">
      <alignment horizontal="left" readingOrder="0" vertical="center"/>
    </xf>
    <xf borderId="12" fillId="3" fontId="2" numFmtId="164" xfId="0" applyAlignment="1" applyBorder="1" applyFont="1" applyNumberFormat="1">
      <alignment horizontal="left" readingOrder="0" vertical="center"/>
    </xf>
    <xf borderId="12" fillId="3" fontId="2" numFmtId="166" xfId="0" applyAlignment="1" applyBorder="1" applyFont="1" applyNumberFormat="1">
      <alignment horizontal="left" readingOrder="0" vertical="center"/>
    </xf>
    <xf borderId="12" fillId="3" fontId="2" numFmtId="165" xfId="0" applyAlignment="1" applyBorder="1" applyFont="1" applyNumberFormat="1">
      <alignment horizontal="left" readingOrder="0" vertical="center"/>
    </xf>
    <xf borderId="13" fillId="3" fontId="2" numFmtId="0" xfId="0" applyAlignment="1" applyBorder="1" applyFont="1">
      <alignment horizontal="left" readingOrder="0" vertical="center"/>
    </xf>
    <xf borderId="0" fillId="0" fontId="2" numFmtId="0" xfId="0" applyAlignment="1" applyFont="1">
      <alignment horizontal="left"/>
    </xf>
    <xf borderId="0" fillId="0" fontId="2" numFmtId="165" xfId="0" applyAlignment="1" applyFont="1" applyNumberFormat="1">
      <alignment horizontal="left" readingOrder="0"/>
    </xf>
    <xf borderId="0" fillId="0" fontId="2" numFmtId="0" xfId="0" applyAlignment="1" applyFont="1">
      <alignment shrinkToFit="0" wrapText="1"/>
    </xf>
    <xf borderId="14" fillId="3" fontId="1" numFmtId="0" xfId="0" applyAlignment="1" applyBorder="1" applyFont="1">
      <alignment readingOrder="0"/>
    </xf>
    <xf borderId="14" fillId="3" fontId="1" numFmtId="0" xfId="0" applyAlignment="1" applyBorder="1" applyFont="1">
      <alignment horizontal="center" readingOrder="0"/>
    </xf>
    <xf borderId="14" fillId="3" fontId="1" numFmtId="0" xfId="0" applyAlignment="1" applyBorder="1" applyFont="1">
      <alignment horizontal="left" readingOrder="0"/>
    </xf>
    <xf borderId="14" fillId="3" fontId="1" numFmtId="0" xfId="0" applyAlignment="1" applyBorder="1" applyFont="1">
      <alignment readingOrder="0" shrinkToFit="0" wrapText="1"/>
    </xf>
    <xf borderId="15" fillId="4" fontId="1" numFmtId="0" xfId="0" applyAlignment="1" applyBorder="1" applyFont="1">
      <alignment horizontal="left" readingOrder="0" shrinkToFit="0" vertical="center" wrapText="1"/>
    </xf>
    <xf borderId="15" fillId="4" fontId="2" numFmtId="0" xfId="0" applyAlignment="1" applyBorder="1" applyFont="1">
      <alignment horizontal="center" readingOrder="0" vertical="center"/>
    </xf>
    <xf borderId="15" fillId="4" fontId="2" numFmtId="0" xfId="0" applyAlignment="1" applyBorder="1" applyFont="1">
      <alignment horizontal="left" readingOrder="0" vertical="center"/>
    </xf>
    <xf borderId="15" fillId="4" fontId="2" numFmtId="164" xfId="0" applyAlignment="1" applyBorder="1" applyFont="1" applyNumberFormat="1">
      <alignment horizontal="left" readingOrder="0" vertical="center"/>
    </xf>
    <xf borderId="15" fillId="4" fontId="2" numFmtId="165" xfId="0" applyAlignment="1" applyBorder="1" applyFont="1" applyNumberFormat="1">
      <alignment horizontal="left" readingOrder="0" vertical="center"/>
    </xf>
    <xf borderId="15" fillId="4" fontId="6" numFmtId="0" xfId="0" applyAlignment="1" applyBorder="1" applyFont="1">
      <alignment horizontal="left" readingOrder="0" shrinkToFit="0" vertical="center" wrapText="1"/>
    </xf>
    <xf borderId="15" fillId="3" fontId="1" numFmtId="0" xfId="0" applyAlignment="1" applyBorder="1" applyFont="1">
      <alignment horizontal="left" readingOrder="0" shrinkToFit="0" vertical="center" wrapText="1"/>
    </xf>
    <xf borderId="15" fillId="3" fontId="2" numFmtId="0" xfId="0" applyAlignment="1" applyBorder="1" applyFont="1">
      <alignment horizontal="center" readingOrder="0" vertical="center"/>
    </xf>
    <xf borderId="15" fillId="3" fontId="2" numFmtId="0" xfId="0" applyAlignment="1" applyBorder="1" applyFont="1">
      <alignment horizontal="left" readingOrder="0" vertical="center"/>
    </xf>
    <xf borderId="15" fillId="3" fontId="2" numFmtId="164" xfId="0" applyAlignment="1" applyBorder="1" applyFont="1" applyNumberFormat="1">
      <alignment horizontal="left" readingOrder="0" vertical="center"/>
    </xf>
    <xf borderId="15" fillId="3" fontId="2" numFmtId="165" xfId="0" applyAlignment="1" applyBorder="1" applyFont="1" applyNumberFormat="1">
      <alignment horizontal="left" readingOrder="0" vertical="center"/>
    </xf>
    <xf borderId="15" fillId="3" fontId="2" numFmtId="0" xfId="0" applyAlignment="1" applyBorder="1" applyFont="1">
      <alignment horizontal="left" readingOrder="0" shrinkToFit="0" vertical="center" wrapText="1"/>
    </xf>
    <xf borderId="15" fillId="3" fontId="14" numFmtId="0" xfId="0" applyAlignment="1" applyBorder="1" applyFont="1">
      <alignment horizontal="left" readingOrder="0" vertical="center"/>
    </xf>
    <xf borderId="15" fillId="4" fontId="2" numFmtId="0" xfId="0" applyAlignment="1" applyBorder="1" applyFont="1">
      <alignment horizontal="left" readingOrder="0" shrinkToFit="0" vertical="center" wrapText="1"/>
    </xf>
    <xf borderId="15" fillId="4" fontId="15" numFmtId="0" xfId="0" applyAlignment="1" applyBorder="1" applyFont="1">
      <alignment horizontal="left" readingOrder="0" vertical="center"/>
    </xf>
    <xf borderId="15" fillId="3" fontId="2" numFmtId="0" xfId="0" applyAlignment="1" applyBorder="1" applyFont="1">
      <alignment horizontal="left" vertical="center"/>
    </xf>
    <xf borderId="15" fillId="4" fontId="16" numFmtId="0" xfId="0" applyAlignment="1" applyBorder="1" applyFont="1">
      <alignment horizontal="left" readingOrder="0" shrinkToFit="0" vertical="center" wrapText="1"/>
    </xf>
    <xf borderId="15" fillId="3" fontId="2" numFmtId="0" xfId="0" applyAlignment="1" applyBorder="1" applyFont="1">
      <alignment horizontal="left" readingOrder="0" vertical="center"/>
    </xf>
    <xf borderId="15" fillId="4" fontId="2" numFmtId="0" xfId="0" applyAlignment="1" applyBorder="1" applyFont="1">
      <alignment horizontal="left" vertical="center"/>
    </xf>
    <xf borderId="15" fillId="3" fontId="17" numFmtId="0" xfId="0" applyAlignment="1" applyBorder="1" applyFont="1">
      <alignment horizontal="left" readingOrder="0" vertical="center"/>
    </xf>
    <xf borderId="15" fillId="4" fontId="2" numFmtId="0" xfId="0" applyAlignment="1" applyBorder="1" applyFont="1">
      <alignment horizontal="left" readingOrder="0" vertical="center"/>
    </xf>
    <xf borderId="15" fillId="4" fontId="2" numFmtId="166" xfId="0" applyAlignment="1" applyBorder="1" applyFont="1" applyNumberFormat="1">
      <alignment horizontal="left" readingOrder="0" vertical="center"/>
    </xf>
    <xf borderId="15" fillId="3" fontId="18" numFmtId="0" xfId="0" applyAlignment="1" applyBorder="1" applyFont="1">
      <alignment horizontal="left" readingOrder="0" shrinkToFit="0" vertical="center" wrapText="1"/>
    </xf>
    <xf borderId="15" fillId="3" fontId="2" numFmtId="166" xfId="0" applyAlignment="1" applyBorder="1" applyFont="1" applyNumberFormat="1">
      <alignment horizontal="left" readingOrder="0" vertical="center"/>
    </xf>
    <xf borderId="15" fillId="4" fontId="1" numFmtId="0" xfId="0" applyAlignment="1" applyBorder="1" applyFont="1">
      <alignment shrinkToFit="0" vertical="center" wrapText="1"/>
    </xf>
    <xf borderId="15" fillId="4" fontId="2" numFmtId="0" xfId="0" applyAlignment="1" applyBorder="1" applyFont="1">
      <alignment horizontal="center" vertical="center"/>
    </xf>
    <xf borderId="15" fillId="4" fontId="2" numFmtId="0" xfId="0" applyAlignment="1" applyBorder="1" applyFont="1">
      <alignment vertical="center"/>
    </xf>
    <xf borderId="15" fillId="4" fontId="2" numFmtId="164" xfId="0" applyAlignment="1" applyBorder="1" applyFont="1" applyNumberFormat="1">
      <alignment vertical="center"/>
    </xf>
    <xf borderId="15" fillId="4" fontId="2" numFmtId="166" xfId="0" applyAlignment="1" applyBorder="1" applyFont="1" applyNumberFormat="1">
      <alignment vertical="center"/>
    </xf>
    <xf borderId="15" fillId="4" fontId="2" numFmtId="165" xfId="0" applyAlignment="1" applyBorder="1" applyFont="1" applyNumberFormat="1">
      <alignment vertical="center"/>
    </xf>
    <xf borderId="15" fillId="4" fontId="2" numFmtId="0" xfId="0" applyAlignment="1" applyBorder="1" applyFont="1">
      <alignment readingOrder="0" vertical="center"/>
    </xf>
    <xf borderId="15" fillId="4" fontId="2" numFmtId="0" xfId="0" applyAlignment="1" applyBorder="1" applyFont="1">
      <alignment vertical="center"/>
    </xf>
    <xf borderId="15" fillId="4" fontId="2" numFmtId="0" xfId="0" applyAlignment="1" applyBorder="1" applyFont="1">
      <alignment readingOrder="0" shrinkToFit="0" vertical="center" wrapText="1"/>
    </xf>
    <xf borderId="15" fillId="4" fontId="19" numFmtId="0" xfId="0" applyAlignment="1" applyBorder="1" applyFont="1">
      <alignment readingOrder="0" vertical="center"/>
    </xf>
    <xf borderId="15" fillId="4" fontId="13" numFmtId="0" xfId="0" applyAlignment="1" applyBorder="1" applyFont="1">
      <alignment vertical="center"/>
    </xf>
    <xf borderId="15" fillId="4" fontId="2" numFmtId="167" xfId="0" applyAlignment="1" applyBorder="1" applyFont="1" applyNumberFormat="1">
      <alignment horizontal="left" readingOrder="0" vertical="center"/>
    </xf>
    <xf borderId="15" fillId="3" fontId="20" numFmtId="0" xfId="0" applyAlignment="1" applyBorder="1" applyFont="1">
      <alignment horizontal="left" readingOrder="0" shrinkToFit="0" vertical="center" wrapText="0"/>
    </xf>
    <xf borderId="15" fillId="0" fontId="2" numFmtId="0" xfId="0" applyBorder="1" applyFont="1"/>
    <xf borderId="15" fillId="0" fontId="2" numFmtId="0" xfId="0" applyAlignment="1" applyBorder="1" applyFont="1">
      <alignment horizontal="center"/>
    </xf>
    <xf borderId="15" fillId="0" fontId="2" numFmtId="0" xfId="0" applyAlignment="1" applyBorder="1" applyFont="1">
      <alignment horizontal="left"/>
    </xf>
    <xf borderId="15" fillId="0" fontId="2" numFmtId="165" xfId="0" applyAlignment="1" applyBorder="1" applyFont="1" applyNumberFormat="1">
      <alignment horizontal="left" readingOrder="0"/>
    </xf>
    <xf borderId="15" fillId="0" fontId="2" numFmtId="0" xfId="0" applyAlignment="1" applyBorder="1" applyFont="1">
      <alignment shrinkToFit="0" wrapText="1"/>
    </xf>
    <xf borderId="0" fillId="4" fontId="2" numFmtId="0" xfId="0" applyAlignment="1" applyFont="1">
      <alignment horizontal="center" readingOrder="0" vertical="center"/>
    </xf>
    <xf borderId="0" fillId="3" fontId="2" numFmtId="0" xfId="0" applyAlignment="1" applyFont="1">
      <alignment horizontal="center" readingOrder="0" vertical="center"/>
    </xf>
    <xf borderId="0" fillId="4" fontId="21" numFmtId="0" xfId="0" applyAlignment="1" applyFont="1">
      <alignment horizontal="left" readingOrder="0" vertical="center"/>
    </xf>
    <xf borderId="0" fillId="4" fontId="2" numFmtId="164" xfId="0" applyAlignment="1" applyFont="1" applyNumberFormat="1">
      <alignment readingOrder="0" vertical="center"/>
    </xf>
    <xf borderId="11" fillId="4" fontId="1" numFmtId="0" xfId="0" applyAlignment="1" applyBorder="1" applyFont="1">
      <alignment horizontal="left" readingOrder="0" shrinkToFit="0" vertical="center" wrapText="1"/>
    </xf>
    <xf borderId="12" fillId="4" fontId="2" numFmtId="0" xfId="0" applyAlignment="1" applyBorder="1" applyFont="1">
      <alignment horizontal="left" readingOrder="0" vertical="center"/>
    </xf>
    <xf borderId="12" fillId="4" fontId="2" numFmtId="164" xfId="0" applyAlignment="1" applyBorder="1" applyFont="1" applyNumberFormat="1">
      <alignment horizontal="left" readingOrder="0" vertical="center"/>
    </xf>
    <xf borderId="12" fillId="4" fontId="2" numFmtId="166" xfId="0" applyAlignment="1" applyBorder="1" applyFont="1" applyNumberFormat="1">
      <alignment horizontal="left" readingOrder="0" vertical="center"/>
    </xf>
    <xf borderId="12" fillId="4" fontId="2" numFmtId="165" xfId="0" applyAlignment="1" applyBorder="1" applyFont="1" applyNumberFormat="1">
      <alignment horizontal="left" readingOrder="0" vertical="center"/>
    </xf>
    <xf borderId="13" fillId="4" fontId="2" numFmtId="0" xfId="0" applyAlignment="1" applyBorder="1" applyFont="1">
      <alignment horizontal="left" readingOrder="0" vertical="center"/>
    </xf>
    <xf borderId="1" fillId="5" fontId="22" numFmtId="0" xfId="0" applyAlignment="1" applyBorder="1" applyFill="1" applyFont="1">
      <alignment readingOrder="0"/>
    </xf>
    <xf borderId="0" fillId="5" fontId="4" numFmtId="0" xfId="0" applyAlignment="1" applyFont="1">
      <alignment horizontal="center" readingOrder="0" vertical="center"/>
    </xf>
    <xf borderId="2" fillId="5" fontId="4" numFmtId="0" xfId="0" applyAlignment="1" applyBorder="1" applyFont="1">
      <alignment horizontal="center" readingOrder="0" vertical="center"/>
    </xf>
    <xf borderId="3" fillId="5" fontId="5" numFmtId="0" xfId="0" applyBorder="1" applyFont="1"/>
    <xf borderId="4" fillId="5" fontId="5" numFmtId="0" xfId="0" applyBorder="1" applyFont="1"/>
    <xf borderId="6" fillId="6" fontId="1" numFmtId="0" xfId="0" applyAlignment="1" applyBorder="1" applyFill="1" applyFont="1">
      <alignment horizontal="left" readingOrder="0" shrinkToFit="0" vertical="center" wrapText="1"/>
    </xf>
    <xf borderId="7" fillId="6" fontId="2" numFmtId="0" xfId="0" applyAlignment="1" applyBorder="1" applyFont="1">
      <alignment horizontal="center" readingOrder="0" vertical="center"/>
    </xf>
    <xf borderId="7" fillId="6" fontId="2" numFmtId="0" xfId="0" applyAlignment="1" applyBorder="1" applyFont="1">
      <alignment horizontal="left" readingOrder="0" vertical="center"/>
    </xf>
    <xf borderId="7" fillId="6" fontId="2" numFmtId="164" xfId="0" applyAlignment="1" applyBorder="1" applyFont="1" applyNumberFormat="1">
      <alignment horizontal="left" readingOrder="0" vertical="center"/>
    </xf>
    <xf borderId="7" fillId="6" fontId="2" numFmtId="165" xfId="0" applyAlignment="1" applyBorder="1" applyFont="1" applyNumberFormat="1">
      <alignment horizontal="left" readingOrder="0" vertical="center"/>
    </xf>
    <xf borderId="7" fillId="6" fontId="2" numFmtId="0" xfId="0" applyAlignment="1" applyBorder="1" applyFont="1">
      <alignment horizontal="left" vertical="center"/>
    </xf>
    <xf borderId="7" fillId="6" fontId="6" numFmtId="0" xfId="0" applyAlignment="1" applyBorder="1" applyFont="1">
      <alignment horizontal="left" readingOrder="0" shrinkToFit="0" vertical="center" wrapText="1"/>
    </xf>
    <xf borderId="8" fillId="6" fontId="2" numFmtId="0" xfId="0" applyAlignment="1" applyBorder="1" applyFont="1">
      <alignment horizontal="left" readingOrder="0" vertical="center"/>
    </xf>
    <xf borderId="9" fillId="6" fontId="1" numFmtId="0" xfId="0" applyAlignment="1" applyBorder="1" applyFont="1">
      <alignment horizontal="left" readingOrder="0" shrinkToFit="0" vertical="center" wrapText="1"/>
    </xf>
    <xf borderId="0" fillId="6" fontId="2" numFmtId="0" xfId="0" applyAlignment="1" applyFont="1">
      <alignment horizontal="left" readingOrder="0" vertical="center"/>
    </xf>
    <xf borderId="0" fillId="6" fontId="2" numFmtId="164" xfId="0" applyAlignment="1" applyFont="1" applyNumberFormat="1">
      <alignment horizontal="left" readingOrder="0" vertical="center"/>
    </xf>
    <xf borderId="0" fillId="6" fontId="2" numFmtId="165" xfId="0" applyAlignment="1" applyFont="1" applyNumberFormat="1">
      <alignment horizontal="left" readingOrder="0" vertical="center"/>
    </xf>
    <xf borderId="0" fillId="6" fontId="2" numFmtId="0" xfId="0" applyAlignment="1" applyFont="1">
      <alignment horizontal="left" readingOrder="0" shrinkToFit="0" vertical="center" wrapText="1"/>
    </xf>
    <xf borderId="0" fillId="6" fontId="23" numFmtId="0" xfId="0" applyAlignment="1" applyFont="1">
      <alignment horizontal="left" readingOrder="0" vertical="center"/>
    </xf>
    <xf borderId="10" fillId="6" fontId="2" numFmtId="0" xfId="0" applyAlignment="1" applyBorder="1" applyFont="1">
      <alignment horizontal="left" readingOrder="0" vertical="center"/>
    </xf>
    <xf borderId="0" fillId="6" fontId="2" numFmtId="0" xfId="0" applyAlignment="1" applyFont="1">
      <alignment horizontal="left" vertical="center"/>
    </xf>
    <xf borderId="7" fillId="3" fontId="2" numFmtId="0" xfId="0" applyAlignment="1" applyBorder="1" applyFont="1">
      <alignment horizontal="left" readingOrder="0" vertical="center"/>
    </xf>
    <xf borderId="11" fillId="6" fontId="1" numFmtId="0" xfId="0" applyAlignment="1" applyBorder="1" applyFont="1">
      <alignment horizontal="left" readingOrder="0" shrinkToFit="0" vertical="center" wrapText="1"/>
    </xf>
    <xf borderId="12" fillId="6" fontId="2" numFmtId="0" xfId="0" applyAlignment="1" applyBorder="1" applyFont="1">
      <alignment horizontal="left" readingOrder="0" vertical="center"/>
    </xf>
    <xf borderId="12" fillId="6" fontId="2" numFmtId="164" xfId="0" applyAlignment="1" applyBorder="1" applyFont="1" applyNumberFormat="1">
      <alignment horizontal="left" readingOrder="0" vertical="center"/>
    </xf>
    <xf borderId="12" fillId="6" fontId="2" numFmtId="166" xfId="0" applyAlignment="1" applyBorder="1" applyFont="1" applyNumberFormat="1">
      <alignment horizontal="left" readingOrder="0" vertical="center"/>
    </xf>
    <xf borderId="12" fillId="6" fontId="2" numFmtId="165" xfId="0" applyAlignment="1" applyBorder="1" applyFont="1" applyNumberFormat="1">
      <alignment horizontal="left" readingOrder="0" vertical="center"/>
    </xf>
    <xf borderId="13" fillId="6" fontId="2" numFmtId="0" xfId="0" applyAlignment="1" applyBorder="1" applyFont="1">
      <alignment horizontal="left" readingOrder="0" vertical="center"/>
    </xf>
    <xf borderId="0" fillId="0" fontId="24" numFmtId="0" xfId="0" applyAlignment="1" applyFont="1">
      <alignment horizontal="center" readingOrder="0"/>
    </xf>
    <xf borderId="0" fillId="0" fontId="25" numFmtId="0" xfId="0" applyFont="1"/>
    <xf borderId="16" fillId="7" fontId="24" numFmtId="0" xfId="0" applyAlignment="1" applyBorder="1" applyFill="1" applyFont="1">
      <alignment horizontal="center" readingOrder="0"/>
    </xf>
    <xf borderId="17" fillId="7" fontId="5" numFmtId="0" xfId="0" applyBorder="1" applyFont="1"/>
    <xf borderId="18" fillId="7" fontId="5" numFmtId="0" xfId="0" applyBorder="1" applyFont="1"/>
    <xf borderId="0" fillId="0" fontId="25" numFmtId="0" xfId="0" applyAlignment="1" applyFont="1">
      <alignment readingOrder="0"/>
    </xf>
    <xf borderId="19" fillId="3" fontId="25" numFmtId="0" xfId="0" applyAlignment="1" applyBorder="1" applyFont="1">
      <alignment readingOrder="0"/>
    </xf>
    <xf borderId="0" fillId="0" fontId="26" numFmtId="0" xfId="0" applyAlignment="1" applyFont="1">
      <alignment readingOrder="0"/>
    </xf>
    <xf borderId="20" fillId="8" fontId="2" numFmtId="0" xfId="0" applyAlignment="1" applyBorder="1" applyFill="1" applyFont="1">
      <alignment readingOrder="0" shrinkToFit="0" wrapText="1"/>
    </xf>
    <xf borderId="21" fillId="8" fontId="2" numFmtId="0" xfId="0" applyAlignment="1" applyBorder="1" applyFont="1">
      <alignment readingOrder="0" shrinkToFit="0" wrapText="1"/>
    </xf>
    <xf borderId="21" fillId="8" fontId="2" numFmtId="0" xfId="0" applyAlignment="1" applyBorder="1" applyFont="1">
      <alignment readingOrder="0" shrinkToFit="0" wrapText="1"/>
    </xf>
    <xf borderId="21" fillId="8" fontId="2" numFmtId="0" xfId="0" applyAlignment="1" applyBorder="1" applyFont="1">
      <alignment readingOrder="0"/>
    </xf>
    <xf borderId="22" fillId="8" fontId="2" numFmtId="0" xfId="0" applyAlignment="1" applyBorder="1" applyFont="1">
      <alignment readingOrder="0"/>
    </xf>
    <xf borderId="0" fillId="0" fontId="26" numFmtId="0" xfId="0" applyFont="1"/>
    <xf borderId="20" fillId="3" fontId="2" numFmtId="0" xfId="0" applyAlignment="1" applyBorder="1" applyFont="1">
      <alignment readingOrder="0" shrinkToFit="0" wrapText="1"/>
    </xf>
    <xf borderId="20" fillId="3" fontId="2" numFmtId="0" xfId="0" applyAlignment="1" applyBorder="1" applyFont="1">
      <alignment readingOrder="0" shrinkToFit="0" wrapText="1"/>
    </xf>
    <xf borderId="20" fillId="3" fontId="27" numFmtId="0" xfId="0" applyAlignment="1" applyBorder="1" applyFont="1">
      <alignment readingOrder="0" shrinkToFit="0" wrapText="1"/>
    </xf>
    <xf borderId="20" fillId="3" fontId="2" numFmtId="0" xfId="0" applyAlignment="1" applyBorder="1" applyFont="1">
      <alignment readingOrder="0"/>
    </xf>
    <xf borderId="20" fillId="8" fontId="2" numFmtId="0" xfId="0" applyAlignment="1" applyBorder="1" applyFont="1">
      <alignment readingOrder="0" shrinkToFit="0" wrapText="1"/>
    </xf>
    <xf borderId="20" fillId="8" fontId="28" numFmtId="0" xfId="0" applyAlignment="1" applyBorder="1" applyFont="1">
      <alignment readingOrder="0" shrinkToFit="0" wrapText="1"/>
    </xf>
    <xf borderId="20" fillId="8" fontId="2" numFmtId="0" xfId="0" applyAlignment="1" applyBorder="1" applyFont="1">
      <alignment readingOrder="0"/>
    </xf>
    <xf borderId="20" fillId="3" fontId="2" numFmtId="0" xfId="0" applyAlignment="1" applyBorder="1" applyFont="1">
      <alignment readingOrder="0"/>
    </xf>
    <xf borderId="23" fillId="8" fontId="2" numFmtId="0" xfId="0" applyAlignment="1" applyBorder="1" applyFont="1">
      <alignment readingOrder="0" shrinkToFit="0" wrapText="1"/>
    </xf>
    <xf borderId="23" fillId="8" fontId="2" numFmtId="0" xfId="0" applyAlignment="1" applyBorder="1" applyFont="1">
      <alignment readingOrder="0" shrinkToFit="0" wrapText="1"/>
    </xf>
    <xf borderId="23" fillId="8" fontId="29" numFmtId="0" xfId="0" applyAlignment="1" applyBorder="1" applyFont="1">
      <alignment readingOrder="0" shrinkToFit="0" wrapText="1"/>
    </xf>
    <xf borderId="23" fillId="8" fontId="2" numFmtId="0" xfId="0" applyAlignment="1" applyBorder="1" applyFont="1">
      <alignment readingOrder="0"/>
    </xf>
    <xf borderId="24" fillId="3" fontId="30" numFmtId="0" xfId="0" applyAlignment="1" applyBorder="1" applyFont="1">
      <alignment readingOrder="0" shrinkToFit="0" wrapText="1"/>
    </xf>
    <xf borderId="21" fillId="3" fontId="31" numFmtId="0" xfId="0" applyAlignment="1" applyBorder="1" applyFont="1">
      <alignment readingOrder="0"/>
    </xf>
    <xf borderId="21" fillId="3" fontId="2" numFmtId="0" xfId="0" applyAlignment="1" applyBorder="1" applyFont="1">
      <alignment readingOrder="0"/>
    </xf>
    <xf borderId="23" fillId="3" fontId="2" numFmtId="0" xfId="0" applyAlignment="1" applyBorder="1" applyFont="1">
      <alignment readingOrder="0"/>
    </xf>
    <xf borderId="24" fillId="8" fontId="2" numFmtId="0" xfId="0" applyAlignment="1" applyBorder="1" applyFont="1">
      <alignment readingOrder="0"/>
    </xf>
    <xf borderId="0" fillId="8" fontId="32" numFmtId="0" xfId="0" applyAlignment="1" applyFont="1">
      <alignment horizontal="left" readingOrder="0"/>
    </xf>
    <xf borderId="24" fillId="3" fontId="2" numFmtId="0" xfId="0" applyAlignment="1" applyBorder="1" applyFont="1">
      <alignment readingOrder="0"/>
    </xf>
    <xf borderId="21" fillId="3" fontId="2" numFmtId="0" xfId="0" applyAlignment="1" applyBorder="1" applyFont="1">
      <alignment readingOrder="0"/>
    </xf>
    <xf borderId="24" fillId="8" fontId="33" numFmtId="0" xfId="0" applyAlignment="1" applyBorder="1" applyFont="1">
      <alignment readingOrder="0"/>
    </xf>
    <xf borderId="21" fillId="8" fontId="34" numFmtId="0" xfId="0" applyAlignment="1" applyBorder="1" applyFont="1">
      <alignment readingOrder="0"/>
    </xf>
    <xf borderId="24" fillId="3" fontId="2" numFmtId="0" xfId="0" applyAlignment="1" applyBorder="1" applyFont="1">
      <alignment readingOrder="0" shrinkToFit="0" wrapText="1"/>
    </xf>
    <xf borderId="24" fillId="8" fontId="2" numFmtId="0" xfId="0" applyAlignment="1" applyBorder="1" applyFont="1">
      <alignment readingOrder="0"/>
    </xf>
    <xf borderId="24" fillId="3" fontId="2" numFmtId="0" xfId="0" applyAlignment="1" applyBorder="1" applyFont="1">
      <alignment readingOrder="0"/>
    </xf>
    <xf borderId="21" fillId="8" fontId="2" numFmtId="0" xfId="0" applyAlignment="1" applyBorder="1" applyFont="1">
      <alignment readingOrder="0"/>
    </xf>
    <xf borderId="21" fillId="8" fontId="35" numFmtId="0" xfId="0" applyAlignment="1" applyBorder="1" applyFont="1">
      <alignment readingOrder="0" shrinkToFit="0" wrapText="1"/>
    </xf>
    <xf borderId="24" fillId="0" fontId="2" numFmtId="0" xfId="0" applyAlignment="1" applyBorder="1" applyFont="1">
      <alignment readingOrder="0"/>
    </xf>
    <xf borderId="20" fillId="0" fontId="2" numFmtId="0" xfId="0" applyAlignment="1" applyBorder="1" applyFont="1">
      <alignment readingOrder="0"/>
    </xf>
    <xf borderId="21" fillId="0" fontId="36" numFmtId="0" xfId="0" applyAlignment="1" applyBorder="1" applyFont="1">
      <alignment readingOrder="0"/>
    </xf>
    <xf borderId="21" fillId="0" fontId="2" numFmtId="0" xfId="0" applyAlignment="1" applyBorder="1" applyFont="1">
      <alignment readingOrder="0"/>
    </xf>
    <xf borderId="23" fillId="0" fontId="2" numFmtId="0" xfId="0" applyAlignment="1" applyBorder="1" applyFont="1">
      <alignment readingOrder="0"/>
    </xf>
    <xf borderId="25" fillId="0" fontId="2" numFmtId="0" xfId="0" applyAlignment="1" applyBorder="1" applyFont="1">
      <alignment readingOrder="0"/>
    </xf>
    <xf borderId="26" fillId="0" fontId="37" numFmtId="0" xfId="0" applyAlignment="1" applyBorder="1" applyFont="1">
      <alignment readingOrder="0"/>
    </xf>
    <xf borderId="26" fillId="0" fontId="2" numFmtId="0" xfId="0" applyAlignment="1" applyBorder="1" applyFont="1">
      <alignment readingOrder="0"/>
    </xf>
    <xf borderId="27" fillId="0" fontId="2" numFmtId="0" xfId="0" applyAlignment="1" applyBorder="1" applyFont="1">
      <alignment readingOrder="0"/>
    </xf>
    <xf borderId="22" fillId="0" fontId="2" numFmtId="0" xfId="0" applyAlignment="1" applyBorder="1" applyFont="1">
      <alignment readingOrder="0"/>
    </xf>
    <xf borderId="22" fillId="0" fontId="38" numFmtId="0" xfId="0" applyAlignment="1" applyBorder="1" applyFont="1">
      <alignment readingOrder="0"/>
    </xf>
    <xf borderId="22" fillId="0" fontId="26" numFmtId="0" xfId="0" applyAlignment="1" applyBorder="1" applyFont="1">
      <alignment readingOrder="0" shrinkToFit="0" wrapText="1"/>
    </xf>
    <xf borderId="20" fillId="0" fontId="39" numFmtId="0" xfId="0" applyAlignment="1" applyBorder="1" applyFont="1">
      <alignment readingOrder="0"/>
    </xf>
    <xf borderId="21" fillId="0" fontId="39" numFmtId="0" xfId="0" applyAlignment="1" applyBorder="1" applyFont="1">
      <alignment readingOrder="0"/>
    </xf>
    <xf borderId="21" fillId="0" fontId="40" numFmtId="0" xfId="0" applyAlignment="1" applyBorder="1" applyFont="1">
      <alignment readingOrder="0"/>
    </xf>
    <xf borderId="21" fillId="0" fontId="26" numFmtId="0" xfId="0" applyBorder="1" applyFont="1"/>
    <xf borderId="21" fillId="0" fontId="26" numFmtId="0" xfId="0" applyAlignment="1" applyBorder="1" applyFont="1">
      <alignment readingOrder="0" shrinkToFit="0" wrapText="1"/>
    </xf>
    <xf borderId="21" fillId="0" fontId="41" numFmtId="0" xfId="0" applyAlignment="1" applyBorder="1" applyFont="1">
      <alignment readingOrder="0"/>
    </xf>
    <xf borderId="26" fillId="0" fontId="26" numFmtId="0" xfId="0" applyBorder="1" applyFont="1"/>
    <xf borderId="0" fillId="0" fontId="2" numFmtId="0" xfId="0" applyAlignment="1" applyFont="1">
      <alignment readingOrder="0"/>
    </xf>
    <xf borderId="0" fillId="0" fontId="42" numFmtId="0" xfId="0" applyAlignment="1" applyFont="1">
      <alignment readingOrder="0"/>
    </xf>
    <xf borderId="0" fillId="0" fontId="43" numFmtId="0" xfId="0" applyAlignment="1" applyFont="1">
      <alignment readingOrder="0"/>
    </xf>
    <xf borderId="0" fillId="0" fontId="2" numFmtId="0" xfId="0" applyAlignment="1" applyFont="1">
      <alignment readingOrder="0"/>
    </xf>
    <xf borderId="0" fillId="0" fontId="44" numFmtId="0" xfId="0" applyAlignment="1" applyFont="1">
      <alignment readingOrder="0"/>
    </xf>
    <xf borderId="0" fillId="0" fontId="45" numFmtId="0" xfId="0" applyAlignment="1" applyFont="1">
      <alignment readingOrder="0"/>
    </xf>
    <xf borderId="0" fillId="0" fontId="46" numFmtId="0" xfId="0" applyAlignment="1" applyFont="1">
      <alignment readingOrder="0"/>
    </xf>
    <xf borderId="0" fillId="9" fontId="1" numFmtId="0" xfId="0" applyAlignment="1" applyFill="1" applyFont="1">
      <alignment horizontal="center" readingOrder="0"/>
    </xf>
    <xf borderId="28" fillId="10" fontId="1" numFmtId="0" xfId="0" applyAlignment="1" applyBorder="1" applyFill="1" applyFont="1">
      <alignment readingOrder="0"/>
    </xf>
    <xf borderId="29" fillId="10" fontId="1" numFmtId="0" xfId="0" applyAlignment="1" applyBorder="1" applyFont="1">
      <alignment readingOrder="0"/>
    </xf>
    <xf borderId="22" fillId="10" fontId="1" numFmtId="0" xfId="0" applyAlignment="1" applyBorder="1" applyFont="1">
      <alignment readingOrder="0"/>
    </xf>
    <xf borderId="0" fillId="0" fontId="2" numFmtId="0" xfId="0" applyAlignment="1" applyFont="1">
      <alignment readingOrder="0"/>
    </xf>
    <xf borderId="20" fillId="0" fontId="2" numFmtId="0" xfId="0" applyAlignment="1" applyBorder="1" applyFont="1">
      <alignment horizontal="center" readingOrder="0" vertical="center"/>
    </xf>
    <xf borderId="21" fillId="0" fontId="2" numFmtId="0" xfId="0" applyAlignment="1" applyBorder="1" applyFont="1">
      <alignment readingOrder="0"/>
    </xf>
    <xf borderId="20" fillId="0" fontId="5" numFmtId="0" xfId="0" applyBorder="1" applyFont="1"/>
    <xf borderId="23" fillId="0" fontId="5" numFmtId="0" xfId="0" applyBorder="1" applyFont="1"/>
    <xf borderId="0" fillId="0" fontId="47" numFmtId="0" xfId="0" applyAlignment="1" applyFont="1">
      <alignment readingOrder="0"/>
    </xf>
    <xf borderId="30" fillId="0" fontId="2" numFmtId="0" xfId="0" applyAlignment="1" applyBorder="1" applyFont="1">
      <alignment horizontal="center" readingOrder="0" vertical="center"/>
    </xf>
    <xf borderId="31" fillId="0" fontId="48" numFmtId="0" xfId="0" applyAlignment="1" applyBorder="1" applyFont="1">
      <alignment readingOrder="0"/>
    </xf>
    <xf borderId="32" fillId="0" fontId="2" numFmtId="0" xfId="0" applyAlignment="1" applyBorder="1" applyFont="1">
      <alignment readingOrder="0"/>
    </xf>
    <xf borderId="33" fillId="0" fontId="5" numFmtId="0" xfId="0" applyBorder="1" applyFont="1"/>
    <xf borderId="34" fillId="0" fontId="2" numFmtId="0" xfId="0" applyAlignment="1" applyBorder="1" applyFont="1">
      <alignment readingOrder="0"/>
    </xf>
    <xf borderId="35" fillId="0" fontId="2" numFmtId="0" xfId="0" applyAlignment="1" applyBorder="1" applyFont="1">
      <alignment readingOrder="0"/>
    </xf>
    <xf borderId="27" fillId="0" fontId="2" numFmtId="0" xfId="0" applyAlignment="1" applyBorder="1" applyFont="1">
      <alignment horizontal="center" readingOrder="0" vertical="center"/>
    </xf>
    <xf borderId="29" fillId="0" fontId="49" numFmtId="0" xfId="0" applyAlignment="1" applyBorder="1" applyFont="1">
      <alignment readingOrder="0"/>
    </xf>
    <xf borderId="22" fillId="0" fontId="2" numFmtId="0" xfId="0" applyAlignment="1" applyBorder="1" applyFont="1">
      <alignment readingOrder="0"/>
    </xf>
    <xf borderId="36" fillId="0" fontId="50" numFmtId="0" xfId="0" applyAlignment="1" applyBorder="1" applyFont="1">
      <alignment readingOrder="0"/>
    </xf>
    <xf borderId="26" fillId="0" fontId="2" numFmtId="0" xfId="0" applyAlignment="1" applyBorder="1" applyFont="1">
      <alignment readingOrder="0"/>
    </xf>
    <xf borderId="28" fillId="9" fontId="1" numFmtId="0" xfId="0" applyAlignment="1" applyBorder="1" applyFont="1">
      <alignment readingOrder="0"/>
    </xf>
    <xf borderId="22" fillId="9" fontId="1" numFmtId="0" xfId="0" applyAlignment="1" applyBorder="1" applyFont="1">
      <alignment readingOrder="0"/>
    </xf>
    <xf borderId="24" fillId="0" fontId="2" numFmtId="0" xfId="0" applyAlignment="1" applyBorder="1" applyFont="1">
      <alignment readingOrder="0"/>
    </xf>
    <xf borderId="0" fillId="0" fontId="51" numFmtId="0" xfId="0" applyAlignment="1" applyFont="1">
      <alignment readingOrder="0"/>
    </xf>
    <xf borderId="25" fillId="0" fontId="2" numFmtId="0" xfId="0" applyAlignment="1" applyBorder="1" applyFont="1">
      <alignment readingOrder="0"/>
    </xf>
    <xf borderId="37" fillId="11" fontId="1" numFmtId="0" xfId="0" applyAlignment="1" applyBorder="1" applyFill="1" applyFont="1">
      <alignment readingOrder="0"/>
    </xf>
    <xf borderId="0" fillId="0" fontId="52" numFmtId="0" xfId="0" applyAlignment="1" applyFont="1">
      <alignment readingOrder="0"/>
    </xf>
    <xf borderId="38" fillId="0" fontId="52" numFmtId="0" xfId="0" applyAlignment="1" applyBorder="1" applyFont="1">
      <alignment readingOrder="0"/>
    </xf>
    <xf borderId="38" fillId="0" fontId="2" numFmtId="0" xfId="0" applyAlignment="1" applyBorder="1" applyFont="1">
      <alignment readingOrder="0"/>
    </xf>
    <xf borderId="39" fillId="0" fontId="2" numFmtId="0" xfId="0" applyAlignment="1" applyBorder="1" applyFont="1">
      <alignment readingOrder="0"/>
    </xf>
    <xf borderId="24" fillId="0" fontId="52" numFmtId="0" xfId="0" applyAlignment="1" applyBorder="1" applyFont="1">
      <alignment readingOrder="0"/>
    </xf>
    <xf borderId="24" fillId="0" fontId="2" numFmtId="0" xfId="0" applyAlignment="1" applyBorder="1" applyFont="1">
      <alignment readingOrder="0"/>
    </xf>
    <xf borderId="21" fillId="0" fontId="2" numFmtId="0" xfId="0" applyBorder="1" applyFont="1"/>
    <xf borderId="21" fillId="0" fontId="53" numFmtId="0" xfId="0" applyAlignment="1" applyBorder="1" applyFont="1">
      <alignment readingOrder="0"/>
    </xf>
    <xf borderId="25" fillId="0" fontId="2" numFmtId="0" xfId="0" applyAlignment="1" applyBorder="1" applyFont="1">
      <alignment readingOrder="0"/>
    </xf>
    <xf borderId="39" fillId="12" fontId="1" numFmtId="0" xfId="0" applyAlignment="1" applyBorder="1" applyFill="1" applyFont="1">
      <alignment vertical="bottom"/>
    </xf>
    <xf borderId="40" fillId="12" fontId="13" numFmtId="0" xfId="0" applyAlignment="1" applyBorder="1" applyFont="1">
      <alignment vertical="bottom"/>
    </xf>
    <xf borderId="39" fillId="0" fontId="2" numFmtId="0" xfId="0" applyAlignment="1" applyBorder="1" applyFont="1">
      <alignment vertical="bottom"/>
    </xf>
    <xf borderId="40" fillId="0" fontId="2" numFmtId="0" xfId="0" applyAlignment="1" applyBorder="1" applyFont="1">
      <alignment vertical="bottom"/>
    </xf>
    <xf borderId="38" fillId="0" fontId="52" numFmtId="0" xfId="0" applyAlignment="1" applyBorder="1" applyFont="1">
      <alignment vertical="bottom"/>
    </xf>
    <xf borderId="38" fillId="0" fontId="2" numFmtId="0" xfId="0" applyAlignment="1" applyBorder="1" applyFont="1">
      <alignment vertical="bottom"/>
    </xf>
    <xf borderId="40" fillId="0" fontId="2" numFmtId="0" xfId="0" applyAlignment="1" applyBorder="1" applyFont="1">
      <alignment shrinkToFit="0" vertical="bottom" wrapText="1"/>
    </xf>
    <xf borderId="40" fillId="0" fontId="54" numFmtId="0" xfId="0" applyAlignment="1" applyBorder="1" applyFont="1">
      <alignment shrinkToFit="0" vertical="bottom" wrapText="1"/>
    </xf>
    <xf borderId="24" fillId="0" fontId="2" numFmtId="0" xfId="0" applyAlignment="1" applyBorder="1" applyFont="1">
      <alignment vertical="bottom"/>
    </xf>
    <xf borderId="21" fillId="0" fontId="2" numFmtId="0" xfId="0" applyAlignment="1" applyBorder="1" applyFont="1">
      <alignment vertical="bottom"/>
    </xf>
    <xf borderId="0" fillId="0" fontId="2" numFmtId="0" xfId="0" applyAlignment="1" applyFont="1">
      <alignment readingOrder="0" shrinkToFit="0" wrapText="1"/>
    </xf>
    <xf borderId="25" fillId="0" fontId="2" numFmtId="0" xfId="0" applyAlignment="1" applyBorder="1" applyFont="1">
      <alignment vertical="bottom"/>
    </xf>
    <xf borderId="26" fillId="0" fontId="2" numFmtId="0" xfId="0" applyAlignment="1" applyBorder="1" applyFont="1">
      <alignment vertical="bottom"/>
    </xf>
    <xf borderId="37" fillId="13" fontId="1" numFmtId="0" xfId="0" applyAlignment="1" applyBorder="1" applyFill="1" applyFont="1">
      <alignment vertical="bottom"/>
    </xf>
    <xf borderId="38" fillId="0" fontId="2" numFmtId="0" xfId="0" applyAlignment="1" applyBorder="1" applyFont="1">
      <alignment shrinkToFit="0" vertical="bottom" wrapText="1"/>
    </xf>
    <xf borderId="38" fillId="0" fontId="52" numFmtId="0" xfId="0" applyAlignment="1" applyBorder="1" applyFont="1">
      <alignment shrinkToFit="0" vertical="bottom" wrapText="1"/>
    </xf>
    <xf borderId="41" fillId="0" fontId="2" numFmtId="0" xfId="0" applyAlignment="1" applyBorder="1" applyFont="1">
      <alignment vertical="bottom"/>
    </xf>
    <xf borderId="0" fillId="0" fontId="13" numFmtId="0" xfId="0" applyAlignment="1" applyFont="1">
      <alignment vertical="bottom"/>
    </xf>
    <xf borderId="0" fillId="0" fontId="2" numFmtId="0" xfId="0" applyAlignment="1" applyFont="1">
      <alignment vertical="bottom"/>
    </xf>
    <xf borderId="0" fillId="0" fontId="13" numFmtId="0" xfId="0" applyAlignment="1" applyFont="1">
      <alignment vertical="bottom"/>
    </xf>
    <xf borderId="0" fillId="0" fontId="2" numFmtId="0" xfId="0" applyAlignment="1" applyFont="1">
      <alignment vertical="bottom"/>
    </xf>
    <xf borderId="40" fillId="0" fontId="2" numFmtId="0" xfId="0" applyAlignment="1" applyBorder="1" applyFont="1">
      <alignment readingOrder="0"/>
    </xf>
    <xf borderId="40" fillId="0" fontId="2" numFmtId="0" xfId="0" applyAlignment="1" applyBorder="1" applyFont="1">
      <alignment readingOrder="0" shrinkToFit="0" wrapText="1"/>
    </xf>
    <xf borderId="40" fillId="0" fontId="55" numFmtId="0" xfId="0" applyAlignment="1" applyBorder="1" applyFont="1">
      <alignment readingOrder="0" shrinkToFit="0" wrapText="1"/>
    </xf>
    <xf borderId="37" fillId="14" fontId="1" numFmtId="0" xfId="0" applyAlignment="1" applyBorder="1" applyFill="1" applyFont="1">
      <alignment readingOrder="0"/>
    </xf>
    <xf borderId="38" fillId="0" fontId="2" numFmtId="0" xfId="0" applyAlignment="1" applyBorder="1" applyFont="1">
      <alignment readingOrder="0" shrinkToFit="0" wrapText="1"/>
    </xf>
    <xf borderId="38" fillId="0" fontId="52" numFmtId="0" xfId="0" applyAlignment="1" applyBorder="1" applyFont="1">
      <alignment readingOrder="0" shrinkToFit="0" wrapText="1"/>
    </xf>
    <xf borderId="41" fillId="0" fontId="2" numFmtId="0" xfId="0" applyAlignment="1" applyBorder="1" applyFont="1">
      <alignment readingOrder="0"/>
    </xf>
    <xf borderId="34" fillId="0" fontId="56" numFmtId="0" xfId="0" applyAlignment="1" applyBorder="1" applyFont="1">
      <alignment readingOrder="0"/>
    </xf>
    <xf borderId="21" fillId="0" fontId="2" numFmtId="0" xfId="0" applyAlignment="1" applyBorder="1" applyFont="1">
      <alignment readingOrder="0" shrinkToFit="0" wrapText="1"/>
    </xf>
    <xf borderId="24" fillId="0" fontId="57" numFmtId="0" xfId="0" applyAlignment="1" applyBorder="1" applyFont="1">
      <alignment readingOrder="0"/>
    </xf>
    <xf borderId="25" fillId="0" fontId="58" numFmtId="0" xfId="0" applyAlignment="1" applyBorder="1" applyFont="1">
      <alignment readingOrder="0"/>
    </xf>
    <xf borderId="41" fillId="0" fontId="52" numFmtId="0" xfId="0" applyAlignment="1" applyBorder="1" applyFont="1">
      <alignment readingOrder="0"/>
    </xf>
    <xf borderId="39" fillId="12" fontId="1" numFmtId="0" xfId="0" applyAlignment="1" applyBorder="1" applyFont="1">
      <alignment readingOrder="0"/>
    </xf>
    <xf borderId="40" fillId="12" fontId="2" numFmtId="0" xfId="0" applyBorder="1" applyFont="1"/>
    <xf borderId="28" fillId="15" fontId="1" numFmtId="0" xfId="0" applyAlignment="1" applyBorder="1" applyFill="1" applyFont="1">
      <alignment readingOrder="0"/>
    </xf>
    <xf borderId="29" fillId="15" fontId="1" numFmtId="0" xfId="0" applyAlignment="1" applyBorder="1" applyFont="1">
      <alignment readingOrder="0"/>
    </xf>
    <xf borderId="22" fillId="15" fontId="1" numFmtId="0" xfId="0" applyAlignment="1" applyBorder="1" applyFont="1">
      <alignment readingOrder="0"/>
    </xf>
    <xf borderId="24" fillId="0" fontId="59" numFmtId="0" xfId="0" applyAlignment="1" applyBorder="1" applyFont="1">
      <alignment readingOrder="0"/>
    </xf>
    <xf borderId="21" fillId="0" fontId="60" numFmtId="0" xfId="0" applyAlignment="1" applyBorder="1" applyFont="1">
      <alignment readingOrder="0" shrinkToFit="0" wrapText="1"/>
    </xf>
    <xf borderId="36" fillId="0" fontId="2" numFmtId="0" xfId="0" applyAlignment="1" applyBorder="1" applyFont="1">
      <alignment readingOrder="0"/>
    </xf>
    <xf borderId="0" fillId="0" fontId="61" numFmtId="0" xfId="0" applyAlignment="1" applyFont="1">
      <alignment horizontal="center" readingOrder="0"/>
    </xf>
    <xf borderId="0" fillId="0" fontId="62" numFmtId="0" xfId="0" applyFont="1"/>
    <xf borderId="16" fillId="7" fontId="61" numFmtId="0" xfId="0" applyAlignment="1" applyBorder="1" applyFont="1">
      <alignment horizontal="center" readingOrder="0"/>
    </xf>
    <xf borderId="0" fillId="7" fontId="61" numFmtId="0" xfId="0" applyAlignment="1" applyFont="1">
      <alignment horizontal="center" readingOrder="0"/>
    </xf>
    <xf borderId="0" fillId="0" fontId="62" numFmtId="0" xfId="0" applyAlignment="1" applyFont="1">
      <alignment readingOrder="0"/>
    </xf>
    <xf borderId="27" fillId="3" fontId="62" numFmtId="0" xfId="0" applyAlignment="1" applyBorder="1" applyFont="1">
      <alignment readingOrder="0"/>
    </xf>
    <xf borderId="0" fillId="3" fontId="62" numFmtId="0" xfId="0" applyAlignment="1" applyFont="1">
      <alignment readingOrder="0"/>
    </xf>
    <xf borderId="28" fillId="8" fontId="63" numFmtId="0" xfId="0" applyAlignment="1" applyBorder="1" applyFont="1">
      <alignment readingOrder="0"/>
    </xf>
    <xf borderId="27" fillId="8" fontId="45" numFmtId="0" xfId="0" applyAlignment="1" applyBorder="1" applyFont="1">
      <alignment readingOrder="0"/>
    </xf>
    <xf borderId="22" fillId="8" fontId="64" numFmtId="0" xfId="0" applyAlignment="1" applyBorder="1" applyFont="1">
      <alignment readingOrder="0"/>
    </xf>
    <xf borderId="22" fillId="8" fontId="45" numFmtId="0" xfId="0" applyAlignment="1" applyBorder="1" applyFont="1">
      <alignment readingOrder="0"/>
    </xf>
    <xf borderId="0" fillId="8" fontId="45" numFmtId="0" xfId="0" applyAlignment="1" applyFont="1">
      <alignment readingOrder="0"/>
    </xf>
    <xf borderId="24" fillId="3" fontId="45" numFmtId="0" xfId="0" applyAlignment="1" applyBorder="1" applyFont="1">
      <alignment readingOrder="0"/>
    </xf>
    <xf borderId="20" fillId="3" fontId="45" numFmtId="0" xfId="0" applyAlignment="1" applyBorder="1" applyFont="1">
      <alignment readingOrder="0"/>
    </xf>
    <xf borderId="21" fillId="3" fontId="65" numFmtId="0" xfId="0" applyAlignment="1" applyBorder="1" applyFont="1">
      <alignment readingOrder="0"/>
    </xf>
    <xf borderId="21" fillId="3" fontId="45" numFmtId="0" xfId="0" applyAlignment="1" applyBorder="1" applyFont="1">
      <alignment readingOrder="0"/>
    </xf>
    <xf borderId="0" fillId="3" fontId="45" numFmtId="0" xfId="0" applyAlignment="1" applyFont="1">
      <alignment readingOrder="0"/>
    </xf>
    <xf borderId="24" fillId="8" fontId="45" numFmtId="0" xfId="0" applyAlignment="1" applyBorder="1" applyFont="1">
      <alignment readingOrder="0"/>
    </xf>
    <xf borderId="20" fillId="8" fontId="45" numFmtId="0" xfId="0" applyAlignment="1" applyBorder="1" applyFont="1">
      <alignment readingOrder="0"/>
    </xf>
    <xf borderId="21" fillId="8" fontId="66" numFmtId="0" xfId="0" applyAlignment="1" applyBorder="1" applyFont="1">
      <alignment readingOrder="0"/>
    </xf>
    <xf borderId="21" fillId="8" fontId="45" numFmtId="0" xfId="0" applyAlignment="1" applyBorder="1" applyFont="1">
      <alignment readingOrder="0"/>
    </xf>
    <xf borderId="21" fillId="8" fontId="45" numFmtId="0" xfId="0" applyAlignment="1" applyBorder="1" applyFont="1">
      <alignment readingOrder="0"/>
    </xf>
    <xf borderId="21" fillId="3" fontId="45" numFmtId="0" xfId="0" applyAlignment="1" applyBorder="1" applyFont="1">
      <alignment readingOrder="0"/>
    </xf>
    <xf borderId="0" fillId="8" fontId="45" numFmtId="0" xfId="0" applyAlignment="1" applyFont="1">
      <alignment readingOrder="0"/>
    </xf>
    <xf borderId="25" fillId="3" fontId="45" numFmtId="0" xfId="0" applyAlignment="1" applyBorder="1" applyFont="1">
      <alignment readingOrder="0"/>
    </xf>
    <xf borderId="23" fillId="3" fontId="45" numFmtId="0" xfId="0" applyAlignment="1" applyBorder="1" applyFont="1">
      <alignment readingOrder="0"/>
    </xf>
    <xf borderId="26" fillId="3" fontId="45" numFmtId="0" xfId="0" applyAlignment="1" applyBorder="1" applyFont="1">
      <alignment readingOrder="0"/>
    </xf>
    <xf borderId="26" fillId="3" fontId="45" numFmtId="0" xfId="0" applyAlignment="1" applyBorder="1" applyFont="1">
      <alignment readingOrder="0"/>
    </xf>
    <xf borderId="0" fillId="3" fontId="45" numFmtId="0" xfId="0" applyAlignment="1" applyFont="1">
      <alignment readingOrder="0"/>
    </xf>
    <xf borderId="0" fillId="0" fontId="67" numFmtId="0" xfId="0" applyAlignment="1" applyFont="1">
      <alignment readingOrder="0"/>
    </xf>
    <xf borderId="0" fillId="0" fontId="62" numFmtId="0" xfId="0" applyAlignment="1" applyFont="1">
      <alignment readingOrder="0" shrinkToFit="0" wrapText="1"/>
    </xf>
    <xf borderId="0" fillId="0" fontId="45" numFmtId="164" xfId="0" applyAlignment="1" applyFont="1" applyNumberFormat="1">
      <alignment readingOrder="0"/>
    </xf>
    <xf borderId="42" fillId="16" fontId="68" numFmtId="0" xfId="0" applyAlignment="1" applyBorder="1" applyFill="1" applyFont="1">
      <alignment readingOrder="0"/>
    </xf>
    <xf borderId="43" fillId="16" fontId="69" numFmtId="0" xfId="0" applyAlignment="1" applyBorder="1" applyFont="1">
      <alignment horizontal="center" readingOrder="0" vertical="center"/>
    </xf>
    <xf borderId="43" fillId="16" fontId="5" numFmtId="0" xfId="0" applyBorder="1" applyFont="1"/>
    <xf borderId="44" fillId="16" fontId="5" numFmtId="0" xfId="0" applyBorder="1" applyFont="1"/>
    <xf borderId="42" fillId="3" fontId="62" numFmtId="0" xfId="0" applyAlignment="1" applyBorder="1" applyFont="1">
      <alignment readingOrder="0"/>
    </xf>
    <xf borderId="43" fillId="3" fontId="62" numFmtId="0" xfId="0" applyAlignment="1" applyBorder="1" applyFont="1">
      <alignment readingOrder="0"/>
    </xf>
    <xf borderId="43" fillId="3" fontId="62" numFmtId="0" xfId="0" applyAlignment="1" applyBorder="1" applyFont="1">
      <alignment readingOrder="0" shrinkToFit="0" wrapText="1"/>
    </xf>
    <xf borderId="44" fillId="3" fontId="62" numFmtId="0" xfId="0" applyAlignment="1" applyBorder="1" applyFont="1">
      <alignment readingOrder="0"/>
    </xf>
    <xf borderId="45" fillId="17" fontId="70" numFmtId="0" xfId="0" applyAlignment="1" applyBorder="1" applyFill="1" applyFont="1">
      <alignment readingOrder="0" shrinkToFit="0" wrapText="1"/>
    </xf>
    <xf borderId="34" fillId="17" fontId="45" numFmtId="0" xfId="0" applyAlignment="1" applyBorder="1" applyFont="1">
      <alignment readingOrder="0"/>
    </xf>
    <xf borderId="34" fillId="17" fontId="45" numFmtId="164" xfId="0" applyAlignment="1" applyBorder="1" applyFont="1" applyNumberFormat="1">
      <alignment readingOrder="0"/>
    </xf>
    <xf borderId="34" fillId="17" fontId="45" numFmtId="165" xfId="0" applyAlignment="1" applyBorder="1" applyFont="1" applyNumberFormat="1">
      <alignment readingOrder="0"/>
    </xf>
    <xf borderId="34" fillId="17" fontId="45" numFmtId="0" xfId="0" applyBorder="1" applyFont="1"/>
    <xf borderId="34" fillId="17" fontId="71" numFmtId="0" xfId="0" applyAlignment="1" applyBorder="1" applyFont="1">
      <alignment horizontal="left" readingOrder="0" shrinkToFit="0" wrapText="1"/>
    </xf>
    <xf borderId="34" fillId="17" fontId="72" numFmtId="0" xfId="0" applyAlignment="1" applyBorder="1" applyFont="1">
      <alignment readingOrder="0" shrinkToFit="0" wrapText="1"/>
    </xf>
    <xf borderId="46" fillId="17" fontId="45" numFmtId="0" xfId="0" applyAlignment="1" applyBorder="1" applyFont="1">
      <alignment readingOrder="0"/>
    </xf>
    <xf borderId="42" fillId="3" fontId="70" numFmtId="0" xfId="0" applyAlignment="1" applyBorder="1" applyFont="1">
      <alignment readingOrder="0" shrinkToFit="0" wrapText="1"/>
    </xf>
    <xf borderId="34" fillId="3" fontId="45" numFmtId="0" xfId="0" applyAlignment="1" applyBorder="1" applyFont="1">
      <alignment readingOrder="0"/>
    </xf>
    <xf borderId="43" fillId="3" fontId="45" numFmtId="0" xfId="0" applyAlignment="1" applyBorder="1" applyFont="1">
      <alignment readingOrder="0"/>
    </xf>
    <xf borderId="43" fillId="3" fontId="45" numFmtId="164" xfId="0" applyAlignment="1" applyBorder="1" applyFont="1" applyNumberFormat="1">
      <alignment readingOrder="0"/>
    </xf>
    <xf borderId="43" fillId="3" fontId="45" numFmtId="165" xfId="0" applyAlignment="1" applyBorder="1" applyFont="1" applyNumberFormat="1">
      <alignment readingOrder="0"/>
    </xf>
    <xf borderId="43" fillId="3" fontId="45" numFmtId="0" xfId="0" applyAlignment="1" applyBorder="1" applyFont="1">
      <alignment readingOrder="0" shrinkToFit="0" wrapText="1"/>
    </xf>
    <xf borderId="43" fillId="3" fontId="73" numFmtId="0" xfId="0" applyAlignment="1" applyBorder="1" applyFont="1">
      <alignment readingOrder="0"/>
    </xf>
    <xf borderId="44" fillId="3" fontId="45" numFmtId="0" xfId="0" applyAlignment="1" applyBorder="1" applyFont="1">
      <alignment readingOrder="0"/>
    </xf>
    <xf borderId="1" fillId="17" fontId="70" numFmtId="0" xfId="0" applyAlignment="1" applyBorder="1" applyFont="1">
      <alignment readingOrder="0" shrinkToFit="0" wrapText="1"/>
    </xf>
    <xf borderId="31" fillId="17" fontId="45" numFmtId="0" xfId="0" applyAlignment="1" applyBorder="1" applyFont="1">
      <alignment readingOrder="0"/>
    </xf>
    <xf borderId="31" fillId="17" fontId="45" numFmtId="164" xfId="0" applyAlignment="1" applyBorder="1" applyFont="1" applyNumberFormat="1">
      <alignment readingOrder="0"/>
    </xf>
    <xf borderId="31" fillId="17" fontId="45" numFmtId="165" xfId="0" applyAlignment="1" applyBorder="1" applyFont="1" applyNumberFormat="1">
      <alignment readingOrder="0"/>
    </xf>
    <xf borderId="31" fillId="17" fontId="45" numFmtId="0" xfId="0" applyAlignment="1" applyBorder="1" applyFont="1">
      <alignment readingOrder="0" shrinkToFit="0" wrapText="1"/>
    </xf>
    <xf borderId="0" fillId="17" fontId="74" numFmtId="0" xfId="0" applyAlignment="1" applyFont="1">
      <alignment readingOrder="0"/>
    </xf>
    <xf borderId="0" fillId="17" fontId="45" numFmtId="0" xfId="0" applyAlignment="1" applyFont="1">
      <alignment readingOrder="0"/>
    </xf>
    <xf borderId="45" fillId="3" fontId="5" numFmtId="0" xfId="0" applyBorder="1" applyFont="1"/>
    <xf borderId="34" fillId="3" fontId="5" numFmtId="0" xfId="0" applyBorder="1" applyFont="1"/>
    <xf borderId="47" fillId="3" fontId="75" numFmtId="0" xfId="0" applyAlignment="1" applyBorder="1" applyFont="1">
      <alignment readingOrder="0"/>
    </xf>
    <xf borderId="42" fillId="17" fontId="70" numFmtId="0" xfId="0" applyAlignment="1" applyBorder="1" applyFont="1">
      <alignment readingOrder="0" shrinkToFit="0" wrapText="1"/>
    </xf>
    <xf borderId="43" fillId="17" fontId="45" numFmtId="0" xfId="0" applyAlignment="1" applyBorder="1" applyFont="1">
      <alignment readingOrder="0"/>
    </xf>
    <xf borderId="43" fillId="17" fontId="45" numFmtId="164" xfId="0" applyAlignment="1" applyBorder="1" applyFont="1" applyNumberFormat="1">
      <alignment readingOrder="0"/>
    </xf>
    <xf borderId="43" fillId="17" fontId="45" numFmtId="165" xfId="0" applyAlignment="1" applyBorder="1" applyFont="1" applyNumberFormat="1">
      <alignment readingOrder="0"/>
    </xf>
    <xf borderId="43" fillId="17" fontId="45" numFmtId="0" xfId="0" applyAlignment="1" applyBorder="1" applyFont="1">
      <alignment readingOrder="0" shrinkToFit="0" wrapText="1"/>
    </xf>
    <xf borderId="34" fillId="17" fontId="76" numFmtId="0" xfId="0" applyAlignment="1" applyBorder="1" applyFont="1">
      <alignment readingOrder="0"/>
    </xf>
    <xf borderId="44" fillId="17" fontId="45" numFmtId="0" xfId="0" applyAlignment="1" applyBorder="1" applyFont="1">
      <alignment readingOrder="0"/>
    </xf>
    <xf borderId="43" fillId="17" fontId="77" numFmtId="0" xfId="0" applyAlignment="1" applyBorder="1" applyFont="1">
      <alignment readingOrder="0"/>
    </xf>
    <xf borderId="44" fillId="17" fontId="78" numFmtId="0" xfId="0" applyAlignment="1" applyBorder="1" applyFont="1">
      <alignment readingOrder="0"/>
    </xf>
    <xf borderId="43" fillId="17" fontId="45" numFmtId="0" xfId="0" applyBorder="1" applyFont="1"/>
    <xf borderId="31" fillId="17" fontId="79" numFmtId="0" xfId="0" applyAlignment="1" applyBorder="1" applyFont="1">
      <alignment readingOrder="0"/>
    </xf>
    <xf borderId="1" fillId="3" fontId="80" numFmtId="0" xfId="0" applyAlignment="1" applyBorder="1" applyFont="1">
      <alignment readingOrder="0" shrinkToFit="0" wrapText="1"/>
    </xf>
    <xf borderId="31" fillId="3" fontId="81" numFmtId="0" xfId="0" applyAlignment="1" applyBorder="1" applyFont="1">
      <alignment readingOrder="0"/>
    </xf>
    <xf borderId="31" fillId="3" fontId="81" numFmtId="164" xfId="0" applyAlignment="1" applyBorder="1" applyFont="1" applyNumberFormat="1">
      <alignment readingOrder="0"/>
    </xf>
    <xf borderId="31" fillId="3" fontId="81" numFmtId="165" xfId="0" applyAlignment="1" applyBorder="1" applyFont="1" applyNumberFormat="1">
      <alignment readingOrder="0"/>
    </xf>
    <xf borderId="31" fillId="3" fontId="81" numFmtId="0" xfId="0" applyBorder="1" applyFont="1"/>
    <xf borderId="31" fillId="3" fontId="81" numFmtId="0" xfId="0" applyAlignment="1" applyBorder="1" applyFont="1">
      <alignment readingOrder="0" shrinkToFit="0" wrapText="1"/>
    </xf>
    <xf borderId="48" fillId="3" fontId="82" numFmtId="0" xfId="0" applyAlignment="1" applyBorder="1" applyFont="1">
      <alignment readingOrder="0"/>
    </xf>
    <xf borderId="49" fillId="3" fontId="81" numFmtId="0" xfId="0" applyAlignment="1" applyBorder="1" applyFont="1">
      <alignment readingOrder="0"/>
    </xf>
    <xf borderId="45" fillId="17" fontId="5" numFmtId="0" xfId="0" applyBorder="1" applyFont="1"/>
    <xf borderId="34" fillId="17" fontId="5" numFmtId="0" xfId="0" applyBorder="1" applyFont="1"/>
    <xf borderId="34" fillId="17" fontId="82" numFmtId="0" xfId="0" applyAlignment="1" applyBorder="1" applyFont="1">
      <alignment readingOrder="0"/>
    </xf>
    <xf borderId="46" fillId="17" fontId="5" numFmtId="0" xfId="0" applyBorder="1" applyFont="1"/>
    <xf borderId="43" fillId="3" fontId="45" numFmtId="0" xfId="0" applyBorder="1" applyFont="1"/>
    <xf borderId="31" fillId="3" fontId="45" numFmtId="0" xfId="0" applyAlignment="1" applyBorder="1" applyFont="1">
      <alignment readingOrder="0"/>
    </xf>
    <xf borderId="49" fillId="17" fontId="45" numFmtId="0" xfId="0" applyAlignment="1" applyBorder="1" applyFont="1">
      <alignment readingOrder="0"/>
    </xf>
    <xf borderId="34" fillId="3" fontId="83" numFmtId="0" xfId="0" applyAlignment="1" applyBorder="1" applyFont="1">
      <alignment readingOrder="0"/>
    </xf>
    <xf borderId="46" fillId="3" fontId="5" numFmtId="0" xfId="0" applyBorder="1" applyFont="1"/>
    <xf borderId="43" fillId="17" fontId="84" numFmtId="0" xfId="0" applyAlignment="1" applyBorder="1" applyFont="1">
      <alignment readingOrder="0"/>
    </xf>
    <xf borderId="43" fillId="3" fontId="45" numFmtId="0" xfId="0" applyAlignment="1" applyBorder="1" applyFont="1">
      <alignment readingOrder="0"/>
    </xf>
    <xf borderId="44" fillId="3" fontId="85" numFmtId="0" xfId="0" applyAlignment="1" applyBorder="1" applyFont="1">
      <alignment readingOrder="0"/>
    </xf>
    <xf borderId="44" fillId="17" fontId="45" numFmtId="0" xfId="0" applyAlignment="1" applyBorder="1" applyFont="1">
      <alignment readingOrder="0"/>
    </xf>
    <xf borderId="44" fillId="3" fontId="45" numFmtId="0" xfId="0" applyAlignment="1" applyBorder="1" applyFont="1">
      <alignment readingOrder="0"/>
    </xf>
    <xf borderId="43" fillId="17" fontId="86" numFmtId="0" xfId="0" applyAlignment="1" applyBorder="1" applyFont="1">
      <alignment readingOrder="0" shrinkToFit="0" wrapText="1"/>
    </xf>
    <xf borderId="43" fillId="3" fontId="45" numFmtId="166" xfId="0" applyAlignment="1" applyBorder="1" applyFont="1" applyNumberFormat="1">
      <alignment readingOrder="0"/>
    </xf>
    <xf borderId="43" fillId="3" fontId="45" numFmtId="167" xfId="0" applyAlignment="1" applyBorder="1" applyFont="1" applyNumberFormat="1">
      <alignment readingOrder="0"/>
    </xf>
    <xf borderId="0" fillId="3" fontId="45" numFmtId="0" xfId="0" applyFont="1"/>
    <xf borderId="43" fillId="17" fontId="45" numFmtId="166" xfId="0" applyAlignment="1" applyBorder="1" applyFont="1" applyNumberFormat="1">
      <alignment readingOrder="0"/>
    </xf>
    <xf borderId="0" fillId="3" fontId="45" numFmtId="164" xfId="0" applyAlignment="1" applyFont="1" applyNumberFormat="1">
      <alignment readingOrder="0"/>
    </xf>
    <xf borderId="0" fillId="3" fontId="45" numFmtId="166" xfId="0" applyAlignment="1" applyFont="1" applyNumberFormat="1">
      <alignment readingOrder="0"/>
    </xf>
    <xf borderId="0" fillId="3" fontId="45" numFmtId="165" xfId="0" applyAlignment="1" applyFont="1" applyNumberFormat="1">
      <alignment readingOrder="0"/>
    </xf>
    <xf borderId="34" fillId="0" fontId="45" numFmtId="0" xfId="0" applyAlignment="1" applyBorder="1" applyFont="1">
      <alignment readingOrder="0"/>
    </xf>
    <xf borderId="0" fillId="0" fontId="45" numFmtId="165" xfId="0" applyAlignment="1" applyFont="1" applyNumberFormat="1">
      <alignment readingOrder="0"/>
    </xf>
    <xf borderId="0" fillId="0" fontId="45" numFmtId="0" xfId="0" applyAlignment="1" applyFont="1">
      <alignment shrinkToFit="0" wrapText="1"/>
    </xf>
    <xf borderId="0" fillId="0" fontId="45" numFmtId="165" xfId="0" applyFont="1" applyNumberFormat="1"/>
    <xf borderId="42" fillId="18" fontId="87" numFmtId="0" xfId="0" applyAlignment="1" applyBorder="1" applyFill="1" applyFont="1">
      <alignment readingOrder="0"/>
    </xf>
    <xf borderId="43" fillId="18" fontId="69" numFmtId="0" xfId="0" applyAlignment="1" applyBorder="1" applyFont="1">
      <alignment horizontal="center" readingOrder="0" vertical="center"/>
    </xf>
    <xf borderId="43" fillId="18" fontId="5" numFmtId="0" xfId="0" applyBorder="1" applyFont="1"/>
    <xf borderId="44" fillId="18" fontId="5" numFmtId="0" xfId="0" applyBorder="1" applyFont="1"/>
    <xf borderId="45" fillId="19" fontId="70" numFmtId="0" xfId="0" applyAlignment="1" applyBorder="1" applyFill="1" applyFont="1">
      <alignment readingOrder="0" shrinkToFit="0" wrapText="1"/>
    </xf>
    <xf borderId="34" fillId="19" fontId="45" numFmtId="0" xfId="0" applyAlignment="1" applyBorder="1" applyFont="1">
      <alignment readingOrder="0"/>
    </xf>
    <xf borderId="34" fillId="19" fontId="45" numFmtId="164" xfId="0" applyAlignment="1" applyBorder="1" applyFont="1" applyNumberFormat="1">
      <alignment readingOrder="0"/>
    </xf>
    <xf borderId="34" fillId="19" fontId="45" numFmtId="165" xfId="0" applyAlignment="1" applyBorder="1" applyFont="1" applyNumberFormat="1">
      <alignment readingOrder="0"/>
    </xf>
    <xf borderId="34" fillId="19" fontId="71" numFmtId="0" xfId="0" applyAlignment="1" applyBorder="1" applyFont="1">
      <alignment horizontal="left" readingOrder="0" shrinkToFit="0" wrapText="1"/>
    </xf>
    <xf borderId="34" fillId="19" fontId="88" numFmtId="0" xfId="0" applyAlignment="1" applyBorder="1" applyFont="1">
      <alignment readingOrder="0" shrinkToFit="0" wrapText="1"/>
    </xf>
    <xf borderId="46" fillId="19" fontId="45" numFmtId="0" xfId="0" applyAlignment="1" applyBorder="1" applyFont="1">
      <alignment readingOrder="0"/>
    </xf>
    <xf borderId="1" fillId="19" fontId="70" numFmtId="0" xfId="0" applyAlignment="1" applyBorder="1" applyFont="1">
      <alignment readingOrder="0" shrinkToFit="0" wrapText="1"/>
    </xf>
    <xf borderId="31" fillId="19" fontId="45" numFmtId="0" xfId="0" applyAlignment="1" applyBorder="1" applyFont="1">
      <alignment readingOrder="0"/>
    </xf>
    <xf borderId="0" fillId="19" fontId="45" numFmtId="0" xfId="0" applyAlignment="1" applyFont="1">
      <alignment readingOrder="0"/>
    </xf>
    <xf borderId="31" fillId="19" fontId="45" numFmtId="164" xfId="0" applyAlignment="1" applyBorder="1" applyFont="1" applyNumberFormat="1">
      <alignment readingOrder="0"/>
    </xf>
    <xf borderId="31" fillId="19" fontId="45" numFmtId="165" xfId="0" applyAlignment="1" applyBorder="1" applyFont="1" applyNumberFormat="1">
      <alignment readingOrder="0"/>
    </xf>
    <xf borderId="31" fillId="19" fontId="45" numFmtId="0" xfId="0" applyAlignment="1" applyBorder="1" applyFont="1">
      <alignment readingOrder="0" shrinkToFit="0" wrapText="1"/>
    </xf>
    <xf borderId="0" fillId="19" fontId="89" numFmtId="0" xfId="0" applyAlignment="1" applyFont="1">
      <alignment readingOrder="0"/>
    </xf>
    <xf borderId="42" fillId="19" fontId="70" numFmtId="0" xfId="0" applyAlignment="1" applyBorder="1" applyFont="1">
      <alignment readingOrder="0" shrinkToFit="0" wrapText="1"/>
    </xf>
    <xf borderId="43" fillId="19" fontId="45" numFmtId="0" xfId="0" applyAlignment="1" applyBorder="1" applyFont="1">
      <alignment readingOrder="0"/>
    </xf>
    <xf borderId="43" fillId="19" fontId="45" numFmtId="164" xfId="0" applyAlignment="1" applyBorder="1" applyFont="1" applyNumberFormat="1">
      <alignment readingOrder="0"/>
    </xf>
    <xf borderId="43" fillId="19" fontId="45" numFmtId="165" xfId="0" applyAlignment="1" applyBorder="1" applyFont="1" applyNumberFormat="1">
      <alignment readingOrder="0"/>
    </xf>
    <xf borderId="43" fillId="19" fontId="45" numFmtId="0" xfId="0" applyAlignment="1" applyBorder="1" applyFont="1">
      <alignment readingOrder="0" shrinkToFit="0" wrapText="1"/>
    </xf>
    <xf borderId="34" fillId="19" fontId="90" numFmtId="0" xfId="0" applyAlignment="1" applyBorder="1" applyFont="1">
      <alignment readingOrder="0"/>
    </xf>
    <xf borderId="44" fillId="19" fontId="45" numFmtId="0" xfId="0" applyAlignment="1" applyBorder="1" applyFont="1">
      <alignment readingOrder="0"/>
    </xf>
    <xf borderId="43" fillId="19" fontId="91" numFmtId="0" xfId="0" applyAlignment="1" applyBorder="1" applyFont="1">
      <alignment readingOrder="0"/>
    </xf>
    <xf borderId="44" fillId="19" fontId="92" numFmtId="0" xfId="0" applyAlignment="1" applyBorder="1" applyFont="1">
      <alignment readingOrder="0"/>
    </xf>
    <xf borderId="43" fillId="19" fontId="45" numFmtId="0" xfId="0" applyBorder="1" applyFont="1"/>
    <xf borderId="31" fillId="19" fontId="93" numFmtId="0" xfId="0" applyAlignment="1" applyBorder="1" applyFont="1">
      <alignment readingOrder="0"/>
    </xf>
    <xf borderId="45" fillId="19" fontId="5" numFmtId="0" xfId="0" applyBorder="1" applyFont="1"/>
    <xf borderId="34" fillId="19" fontId="5" numFmtId="0" xfId="0" applyBorder="1" applyFont="1"/>
    <xf borderId="34" fillId="19" fontId="82" numFmtId="0" xfId="0" applyAlignment="1" applyBorder="1" applyFont="1">
      <alignment readingOrder="0"/>
    </xf>
    <xf borderId="46" fillId="19" fontId="5" numFmtId="0" xfId="0" applyBorder="1" applyFont="1"/>
    <xf borderId="49" fillId="19" fontId="45" numFmtId="0" xfId="0" applyAlignment="1" applyBorder="1" applyFont="1">
      <alignment readingOrder="0"/>
    </xf>
    <xf borderId="43" fillId="19" fontId="94" numFmtId="0" xfId="0" applyAlignment="1" applyBorder="1" applyFont="1">
      <alignment readingOrder="0"/>
    </xf>
    <xf borderId="44" fillId="19" fontId="45" numFmtId="0" xfId="0" applyAlignment="1" applyBorder="1" applyFont="1">
      <alignment readingOrder="0"/>
    </xf>
    <xf borderId="43" fillId="19" fontId="95" numFmtId="0" xfId="0" applyAlignment="1" applyBorder="1" applyFont="1">
      <alignment readingOrder="0" shrinkToFit="0" wrapText="1"/>
    </xf>
    <xf borderId="43" fillId="19" fontId="45" numFmtId="166" xfId="0" applyAlignment="1" applyBorder="1" applyFont="1" applyNumberFormat="1">
      <alignment readingOrder="0"/>
    </xf>
    <xf borderId="0" fillId="8" fontId="96" numFmtId="0" xfId="0" applyAlignment="1" applyFont="1">
      <alignment readingOrder="0"/>
    </xf>
    <xf borderId="24" fillId="3" fontId="97" numFmtId="0" xfId="0" applyAlignment="1" applyBorder="1" applyFont="1">
      <alignment readingOrder="0"/>
    </xf>
    <xf borderId="20" fillId="8" fontId="2" numFmtId="0" xfId="0" applyAlignment="1" applyBorder="1" applyFont="1">
      <alignment readingOrder="0"/>
    </xf>
    <xf borderId="0" fillId="0" fontId="98" numFmtId="0" xfId="0" applyAlignment="1" applyFont="1">
      <alignment horizontal="left" readingOrder="0" vertical="center"/>
    </xf>
    <xf borderId="9" fillId="4" fontId="99" numFmtId="0" xfId="0" applyAlignment="1" applyBorder="1" applyFont="1">
      <alignment horizontal="left" readingOrder="0" shrinkToFit="0" vertical="center" wrapText="1"/>
    </xf>
    <xf borderId="7" fillId="4" fontId="98" numFmtId="0" xfId="0" applyAlignment="1" applyBorder="1" applyFont="1">
      <alignment horizontal="center" readingOrder="0" vertical="center"/>
    </xf>
    <xf borderId="0" fillId="4" fontId="98" numFmtId="0" xfId="0" applyAlignment="1" applyFont="1">
      <alignment horizontal="left" readingOrder="0" vertical="center"/>
    </xf>
    <xf borderId="0" fillId="4" fontId="98" numFmtId="164" xfId="0" applyAlignment="1" applyFont="1" applyNumberFormat="1">
      <alignment horizontal="left" readingOrder="0" vertical="center"/>
    </xf>
    <xf borderId="0" fillId="4" fontId="98" numFmtId="165" xfId="0" applyAlignment="1" applyFont="1" applyNumberFormat="1">
      <alignment horizontal="left" readingOrder="0" vertical="center"/>
    </xf>
    <xf borderId="0" fillId="4" fontId="98" numFmtId="0" xfId="0" applyAlignment="1" applyFont="1">
      <alignment horizontal="left" vertical="center"/>
    </xf>
    <xf borderId="0" fillId="4" fontId="98" numFmtId="0" xfId="0" applyAlignment="1" applyFont="1">
      <alignment horizontal="left" readingOrder="0" shrinkToFit="0" vertical="center" wrapText="1"/>
    </xf>
    <xf borderId="0" fillId="4" fontId="100" numFmtId="0" xfId="0" applyAlignment="1" applyFont="1">
      <alignment horizontal="left" readingOrder="0" vertical="center"/>
    </xf>
    <xf borderId="10" fillId="4" fontId="98" numFmtId="0" xfId="0" applyAlignment="1" applyBorder="1" applyFont="1">
      <alignment horizontal="left" readingOrder="0" vertical="center"/>
    </xf>
    <xf borderId="3" fillId="0" fontId="5" numFmtId="0" xfId="0" applyBorder="1" applyFont="1"/>
    <xf borderId="4" fillId="0" fontId="5" numFmtId="0" xfId="0" applyBorder="1" applyFont="1"/>
    <xf borderId="5" fillId="0" fontId="1" numFmtId="0" xfId="0" applyAlignment="1" applyBorder="1" applyFont="1">
      <alignment readingOrder="0"/>
    </xf>
    <xf borderId="5" fillId="0" fontId="1" numFmtId="0" xfId="0" applyAlignment="1" applyBorder="1" applyFont="1">
      <alignment horizontal="left" readingOrder="0" shrinkToFit="0" wrapText="1"/>
    </xf>
    <xf borderId="5" fillId="0" fontId="1" numFmtId="0" xfId="0" applyAlignment="1" applyBorder="1" applyFont="1">
      <alignment horizontal="left" readingOrder="0"/>
    </xf>
    <xf borderId="5" fillId="0" fontId="1" numFmtId="0" xfId="0" applyAlignment="1" applyBorder="1" applyFont="1">
      <alignment readingOrder="0" shrinkToFit="0" wrapText="1"/>
    </xf>
    <xf borderId="6" fillId="20" fontId="1" numFmtId="0" xfId="0" applyAlignment="1" applyBorder="1" applyFill="1" applyFont="1">
      <alignment horizontal="left" readingOrder="0" shrinkToFit="0" vertical="center" wrapText="1"/>
    </xf>
    <xf borderId="7" fillId="20" fontId="2" numFmtId="0" xfId="0" applyAlignment="1" applyBorder="1" applyFont="1">
      <alignment horizontal="center" readingOrder="0" vertical="center"/>
    </xf>
    <xf borderId="7" fillId="20" fontId="2" numFmtId="0" xfId="0" applyAlignment="1" applyBorder="1" applyFont="1">
      <alignment horizontal="left" readingOrder="0" vertical="center"/>
    </xf>
    <xf borderId="7" fillId="20" fontId="2" numFmtId="164" xfId="0" applyAlignment="1" applyBorder="1" applyFont="1" applyNumberFormat="1">
      <alignment horizontal="left" readingOrder="0" vertical="center"/>
    </xf>
    <xf borderId="7" fillId="20" fontId="2" numFmtId="165" xfId="0" applyAlignment="1" applyBorder="1" applyFont="1" applyNumberFormat="1">
      <alignment horizontal="left" readingOrder="0" vertical="center"/>
    </xf>
    <xf borderId="7" fillId="20" fontId="6" numFmtId="0" xfId="0" applyAlignment="1" applyBorder="1" applyFont="1">
      <alignment horizontal="left" readingOrder="0" shrinkToFit="0" vertical="center" wrapText="1"/>
    </xf>
    <xf borderId="8" fillId="20" fontId="2" numFmtId="0" xfId="0" applyAlignment="1" applyBorder="1" applyFont="1">
      <alignment horizontal="left" readingOrder="0" vertical="center"/>
    </xf>
    <xf borderId="9" fillId="0" fontId="1" numFmtId="0" xfId="0" applyAlignment="1" applyBorder="1" applyFont="1">
      <alignment horizontal="left" readingOrder="0" shrinkToFit="0" vertical="center" wrapText="1"/>
    </xf>
    <xf borderId="0" fillId="0" fontId="2" numFmtId="0" xfId="0" applyAlignment="1" applyFont="1">
      <alignment horizontal="center" readingOrder="0" vertical="center"/>
    </xf>
    <xf borderId="0" fillId="0" fontId="2" numFmtId="164" xfId="0" applyAlignment="1" applyFont="1" applyNumberFormat="1">
      <alignment horizontal="left" readingOrder="0" vertical="center"/>
    </xf>
    <xf borderId="0" fillId="0" fontId="2" numFmtId="165" xfId="0" applyAlignment="1" applyFont="1" applyNumberFormat="1">
      <alignment horizontal="left" readingOrder="0" vertical="center"/>
    </xf>
    <xf borderId="0" fillId="0" fontId="2" numFmtId="0" xfId="0" applyAlignment="1" applyFont="1">
      <alignment horizontal="left" readingOrder="0" shrinkToFit="0" vertical="center" wrapText="1"/>
    </xf>
    <xf borderId="0" fillId="0" fontId="101" numFmtId="0" xfId="0" applyAlignment="1" applyFont="1">
      <alignment horizontal="left" readingOrder="0" vertical="center"/>
    </xf>
    <xf borderId="10" fillId="0" fontId="2" numFmtId="0" xfId="0" applyAlignment="1" applyBorder="1" applyFont="1">
      <alignment horizontal="left" readingOrder="0" vertical="center"/>
    </xf>
    <xf borderId="9" fillId="20" fontId="1" numFmtId="0" xfId="0" applyAlignment="1" applyBorder="1" applyFont="1">
      <alignment horizontal="left" readingOrder="0" shrinkToFit="0" vertical="center" wrapText="1"/>
    </xf>
    <xf borderId="0" fillId="20" fontId="2" numFmtId="0" xfId="0" applyAlignment="1" applyFont="1">
      <alignment horizontal="center" readingOrder="0" vertical="center"/>
    </xf>
    <xf borderId="0" fillId="20" fontId="2" numFmtId="0" xfId="0" applyAlignment="1" applyFont="1">
      <alignment horizontal="left" readingOrder="0" vertical="center"/>
    </xf>
    <xf borderId="0" fillId="20" fontId="2" numFmtId="164" xfId="0" applyAlignment="1" applyFont="1" applyNumberFormat="1">
      <alignment horizontal="left" readingOrder="0" vertical="center"/>
    </xf>
    <xf borderId="0" fillId="20" fontId="2" numFmtId="165" xfId="0" applyAlignment="1" applyFont="1" applyNumberFormat="1">
      <alignment horizontal="left" readingOrder="0" vertical="center"/>
    </xf>
    <xf borderId="0" fillId="20" fontId="2" numFmtId="0" xfId="0" applyAlignment="1" applyFont="1">
      <alignment horizontal="left" readingOrder="0" shrinkToFit="0" vertical="center" wrapText="1"/>
    </xf>
    <xf borderId="0" fillId="20" fontId="102" numFmtId="0" xfId="0" applyAlignment="1" applyFont="1">
      <alignment horizontal="left" readingOrder="0" vertical="center"/>
    </xf>
    <xf borderId="10" fillId="20" fontId="2" numFmtId="0" xfId="0" applyAlignment="1" applyBorder="1" applyFont="1">
      <alignment horizontal="left" readingOrder="0" vertical="center"/>
    </xf>
    <xf borderId="0" fillId="20" fontId="103" numFmtId="0" xfId="0" applyAlignment="1" applyFont="1">
      <alignment horizontal="left" readingOrder="0" shrinkToFit="0" vertical="center" wrapText="1"/>
    </xf>
    <xf borderId="10" fillId="0" fontId="2" numFmtId="0" xfId="0" applyAlignment="1" applyBorder="1" applyFont="1">
      <alignment horizontal="left" readingOrder="0" vertical="center"/>
    </xf>
    <xf borderId="0" fillId="20" fontId="2" numFmtId="0" xfId="0" applyAlignment="1" applyFont="1">
      <alignment horizontal="left" vertical="center"/>
    </xf>
    <xf borderId="0" fillId="0" fontId="2" numFmtId="0" xfId="0" applyAlignment="1" applyFont="1">
      <alignment horizontal="left" readingOrder="0" vertical="center"/>
    </xf>
    <xf borderId="0" fillId="0" fontId="104" numFmtId="0" xfId="0" applyAlignment="1" applyFont="1">
      <alignment horizontal="left" readingOrder="0" vertical="center"/>
    </xf>
    <xf borderId="0" fillId="20" fontId="2" numFmtId="0" xfId="0" applyAlignment="1" applyFont="1">
      <alignment horizontal="left" readingOrder="0" vertical="center"/>
    </xf>
    <xf borderId="10" fillId="20" fontId="2" numFmtId="0" xfId="0" applyAlignment="1" applyBorder="1" applyFont="1">
      <alignment horizontal="left" readingOrder="0" vertical="center"/>
    </xf>
    <xf borderId="0" fillId="0" fontId="105" numFmtId="0" xfId="0" applyAlignment="1" applyFont="1">
      <alignment horizontal="left" readingOrder="0" shrinkToFit="0" vertical="center" wrapText="1"/>
    </xf>
    <xf borderId="0" fillId="20" fontId="2" numFmtId="166" xfId="0" applyAlignment="1" applyFont="1" applyNumberFormat="1">
      <alignment horizontal="left" readingOrder="0" vertical="center"/>
    </xf>
    <xf borderId="0" fillId="0" fontId="2" numFmtId="166" xfId="0" applyAlignment="1" applyFont="1" applyNumberFormat="1">
      <alignment horizontal="left" readingOrder="0" vertical="center"/>
    </xf>
    <xf borderId="0" fillId="0" fontId="98" numFmtId="167" xfId="0" applyAlignment="1" applyFont="1" applyNumberFormat="1">
      <alignment horizontal="left" readingOrder="0" vertical="center"/>
    </xf>
    <xf borderId="11" fillId="20" fontId="1" numFmtId="0" xfId="0" applyAlignment="1" applyBorder="1" applyFont="1">
      <alignment horizontal="left" readingOrder="0" shrinkToFit="0" vertical="center" wrapText="1"/>
    </xf>
    <xf borderId="12" fillId="20" fontId="2" numFmtId="0" xfId="0" applyAlignment="1" applyBorder="1" applyFont="1">
      <alignment horizontal="center" readingOrder="0" vertical="center"/>
    </xf>
    <xf borderId="12" fillId="20" fontId="2" numFmtId="0" xfId="0" applyAlignment="1" applyBorder="1" applyFont="1">
      <alignment horizontal="left" readingOrder="0" vertical="center"/>
    </xf>
    <xf borderId="12" fillId="20" fontId="2" numFmtId="164" xfId="0" applyAlignment="1" applyBorder="1" applyFont="1" applyNumberFormat="1">
      <alignment horizontal="left" readingOrder="0" vertical="center"/>
    </xf>
    <xf borderId="12" fillId="20" fontId="2" numFmtId="166" xfId="0" applyAlignment="1" applyBorder="1" applyFont="1" applyNumberFormat="1">
      <alignment horizontal="left" readingOrder="0" vertical="center"/>
    </xf>
    <xf borderId="12" fillId="20" fontId="2" numFmtId="165" xfId="0" applyAlignment="1" applyBorder="1" applyFont="1" applyNumberFormat="1">
      <alignment horizontal="left" readingOrder="0" vertical="center"/>
    </xf>
    <xf borderId="13" fillId="20" fontId="2" numFmtId="0" xfId="0" applyAlignment="1" applyBorder="1" applyFont="1">
      <alignment horizontal="left" readingOrder="0" vertical="center"/>
    </xf>
    <xf borderId="23" fillId="3" fontId="2" numFmtId="0" xfId="0" applyAlignment="1" applyBorder="1" applyFont="1">
      <alignment readingOrder="0" shrinkToFit="0" wrapText="1"/>
    </xf>
    <xf borderId="23" fillId="3" fontId="2" numFmtId="0" xfId="0" applyAlignment="1" applyBorder="1" applyFont="1">
      <alignment readingOrder="0" shrinkToFit="0" wrapText="1"/>
    </xf>
    <xf borderId="0" fillId="0" fontId="26" numFmtId="0" xfId="0" applyAlignment="1" applyFont="1">
      <alignment readingOrder="0" vertical="center"/>
    </xf>
    <xf borderId="24" fillId="8" fontId="2" numFmtId="0" xfId="0" applyAlignment="1" applyBorder="1" applyFont="1">
      <alignment readingOrder="0" shrinkToFit="0" vertical="center" wrapText="1"/>
    </xf>
    <xf borderId="20" fillId="8" fontId="2" numFmtId="0" xfId="0" applyAlignment="1" applyBorder="1" applyFont="1">
      <alignment readingOrder="0" shrinkToFit="0" vertical="center" wrapText="1"/>
    </xf>
    <xf borderId="21" fillId="8" fontId="106" numFmtId="0" xfId="0" applyAlignment="1" applyBorder="1" applyFont="1">
      <alignment readingOrder="0" shrinkToFit="0" vertical="center" wrapText="1"/>
    </xf>
    <xf borderId="21" fillId="8" fontId="2" numFmtId="0" xfId="0" applyAlignment="1" applyBorder="1" applyFont="1">
      <alignment readingOrder="0" vertical="center"/>
    </xf>
    <xf borderId="0" fillId="0" fontId="26" numFmtId="0" xfId="0" applyAlignment="1" applyFont="1">
      <alignment vertical="center"/>
    </xf>
    <xf borderId="21" fillId="3" fontId="107" numFmtId="0" xfId="0" applyAlignment="1" applyBorder="1" applyFont="1">
      <alignment readingOrder="0" shrinkToFit="0" wrapText="1"/>
    </xf>
    <xf borderId="21" fillId="3" fontId="2" numFmtId="0" xfId="0" applyAlignment="1" applyBorder="1" applyFont="1">
      <alignment readingOrder="0" shrinkToFit="0" wrapText="1"/>
    </xf>
    <xf borderId="0" fillId="7" fontId="24" numFmtId="0" xfId="0" applyAlignment="1" applyFont="1">
      <alignment horizontal="center" readingOrder="0"/>
    </xf>
    <xf borderId="0" fillId="3" fontId="25" numFmtId="0" xfId="0" applyAlignment="1" applyFont="1">
      <alignment readingOrder="0"/>
    </xf>
    <xf borderId="0" fillId="8" fontId="2" numFmtId="0" xfId="0" applyAlignment="1" applyFont="1">
      <alignment readingOrder="0"/>
    </xf>
    <xf borderId="0" fillId="3" fontId="2" numFmtId="0" xfId="0" applyAlignment="1" applyFont="1">
      <alignment readingOrder="0"/>
    </xf>
    <xf borderId="0" fillId="8" fontId="108" numFmtId="0" xfId="0" applyAlignment="1" applyFont="1">
      <alignment readingOrder="0"/>
    </xf>
    <xf borderId="0" fillId="3" fontId="109" numFmtId="0" xfId="0" applyAlignment="1" applyFont="1">
      <alignment readingOrder="0"/>
    </xf>
    <xf borderId="21" fillId="3" fontId="2" numFmtId="0" xfId="0" applyAlignment="1" applyBorder="1" applyFont="1">
      <alignment readingOrder="0" shrinkToFit="0" wrapText="1"/>
    </xf>
    <xf borderId="0" fillId="3" fontId="2" numFmtId="0" xfId="0" applyAlignment="1" applyFont="1">
      <alignment readingOrder="0"/>
    </xf>
    <xf borderId="24" fillId="8" fontId="2" numFmtId="0" xfId="0" applyAlignment="1" applyBorder="1" applyFont="1">
      <alignment readingOrder="0" shrinkToFit="0" wrapText="1"/>
    </xf>
    <xf borderId="0" fillId="8" fontId="2" numFmtId="0" xfId="0" applyAlignment="1" applyFont="1">
      <alignment readingOrder="0"/>
    </xf>
    <xf borderId="21" fillId="8" fontId="110" numFmtId="0" xfId="0" applyAlignment="1" applyBorder="1" applyFont="1">
      <alignment readingOrder="0"/>
    </xf>
    <xf borderId="21" fillId="0" fontId="2" numFmtId="0" xfId="0" applyAlignment="1" applyBorder="1" applyFont="1">
      <alignment readingOrder="0"/>
    </xf>
    <xf borderId="26" fillId="0" fontId="2" numFmtId="0" xfId="0" applyAlignment="1" applyBorder="1" applyFont="1">
      <alignment readingOrder="0"/>
    </xf>
    <xf borderId="0" fillId="0" fontId="111" numFmtId="0" xfId="0" applyAlignment="1" applyFont="1">
      <alignment horizontal="left" readingOrder="0"/>
    </xf>
    <xf borderId="9" fillId="3" fontId="1" numFmtId="0" xfId="0" applyAlignment="1" applyBorder="1" applyFont="1">
      <alignment shrinkToFit="0" vertical="center" wrapText="1"/>
    </xf>
    <xf borderId="0" fillId="3" fontId="2" numFmtId="0" xfId="0" applyAlignment="1" applyFont="1">
      <alignment horizontal="center" vertical="center"/>
    </xf>
    <xf borderId="0" fillId="3" fontId="2" numFmtId="0" xfId="0" applyAlignment="1" applyFont="1">
      <alignment vertical="center"/>
    </xf>
    <xf borderId="0" fillId="3" fontId="2" numFmtId="164" xfId="0" applyAlignment="1" applyFont="1" applyNumberFormat="1">
      <alignment vertical="center"/>
    </xf>
    <xf borderId="0" fillId="3" fontId="2" numFmtId="166" xfId="0" applyAlignment="1" applyFont="1" applyNumberFormat="1">
      <alignment vertical="center"/>
    </xf>
    <xf borderId="0" fillId="3" fontId="2" numFmtId="165" xfId="0" applyAlignment="1" applyFont="1" applyNumberFormat="1">
      <alignment vertical="center"/>
    </xf>
    <xf borderId="0" fillId="3" fontId="2" numFmtId="0" xfId="0" applyAlignment="1" applyFont="1">
      <alignment vertical="center"/>
    </xf>
    <xf borderId="0" fillId="3" fontId="2" numFmtId="0" xfId="0" applyAlignment="1" applyFont="1">
      <alignment readingOrder="0" shrinkToFit="0" vertical="center" wrapText="1"/>
    </xf>
    <xf borderId="0" fillId="3" fontId="112" numFmtId="0" xfId="0" applyAlignment="1" applyFont="1">
      <alignment readingOrder="0" vertical="center"/>
    </xf>
    <xf borderId="0" fillId="3" fontId="13" numFmtId="0" xfId="0" applyAlignment="1" applyFont="1">
      <alignment vertical="center"/>
    </xf>
    <xf borderId="10" fillId="3" fontId="2" numFmtId="0" xfId="0" applyAlignment="1" applyBorder="1" applyFont="1">
      <alignment vertical="center"/>
    </xf>
    <xf borderId="0" fillId="3" fontId="2" numFmtId="167" xfId="0" applyAlignment="1" applyFont="1" applyNumberFormat="1">
      <alignment horizontal="left" readingOrder="0" vertical="center"/>
    </xf>
    <xf borderId="0" fillId="0" fontId="113" numFmtId="0" xfId="0" applyAlignment="1" applyFont="1">
      <alignment readingOrder="0"/>
    </xf>
    <xf borderId="42" fillId="2" fontId="114" numFmtId="0" xfId="0" applyAlignment="1" applyBorder="1" applyFont="1">
      <alignment readingOrder="0"/>
    </xf>
    <xf borderId="43" fillId="2" fontId="69" numFmtId="0" xfId="0" applyAlignment="1" applyBorder="1" applyFont="1">
      <alignment horizontal="center" readingOrder="0" vertical="center"/>
    </xf>
    <xf borderId="43" fillId="0" fontId="5" numFmtId="0" xfId="0" applyBorder="1" applyFont="1"/>
    <xf borderId="44" fillId="0" fontId="5" numFmtId="0" xfId="0" applyBorder="1" applyFont="1"/>
    <xf borderId="42" fillId="0" fontId="62" numFmtId="0" xfId="0" applyAlignment="1" applyBorder="1" applyFont="1">
      <alignment readingOrder="0"/>
    </xf>
    <xf borderId="43" fillId="0" fontId="62" numFmtId="0" xfId="0" applyAlignment="1" applyBorder="1" applyFont="1">
      <alignment readingOrder="0"/>
    </xf>
    <xf borderId="43" fillId="0" fontId="62" numFmtId="0" xfId="0" applyAlignment="1" applyBorder="1" applyFont="1">
      <alignment readingOrder="0" shrinkToFit="0" wrapText="1"/>
    </xf>
    <xf borderId="44" fillId="0" fontId="62" numFmtId="0" xfId="0" applyAlignment="1" applyBorder="1" applyFont="1">
      <alignment readingOrder="0"/>
    </xf>
    <xf borderId="45" fillId="20" fontId="70" numFmtId="0" xfId="0" applyAlignment="1" applyBorder="1" applyFont="1">
      <alignment readingOrder="0"/>
    </xf>
    <xf borderId="34" fillId="20" fontId="45" numFmtId="0" xfId="0" applyAlignment="1" applyBorder="1" applyFont="1">
      <alignment readingOrder="0"/>
    </xf>
    <xf borderId="34" fillId="20" fontId="45" numFmtId="164" xfId="0" applyAlignment="1" applyBorder="1" applyFont="1" applyNumberFormat="1">
      <alignment readingOrder="0"/>
    </xf>
    <xf borderId="34" fillId="20" fontId="45" numFmtId="165" xfId="0" applyAlignment="1" applyBorder="1" applyFont="1" applyNumberFormat="1">
      <alignment readingOrder="0"/>
    </xf>
    <xf borderId="34" fillId="20" fontId="45" numFmtId="0" xfId="0" applyBorder="1" applyFont="1"/>
    <xf borderId="34" fillId="20" fontId="71" numFmtId="0" xfId="0" applyAlignment="1" applyBorder="1" applyFont="1">
      <alignment horizontal="left" readingOrder="0" shrinkToFit="0" wrapText="1"/>
    </xf>
    <xf borderId="46" fillId="20" fontId="45" numFmtId="0" xfId="0" applyAlignment="1" applyBorder="1" applyFont="1">
      <alignment readingOrder="0"/>
    </xf>
    <xf borderId="42" fillId="0" fontId="70" numFmtId="0" xfId="0" applyAlignment="1" applyBorder="1" applyFont="1">
      <alignment readingOrder="0"/>
    </xf>
    <xf borderId="43" fillId="0" fontId="45" numFmtId="0" xfId="0" applyAlignment="1" applyBorder="1" applyFont="1">
      <alignment readingOrder="0"/>
    </xf>
    <xf borderId="43" fillId="0" fontId="45" numFmtId="164" xfId="0" applyAlignment="1" applyBorder="1" applyFont="1" applyNumberFormat="1">
      <alignment readingOrder="0"/>
    </xf>
    <xf borderId="43" fillId="0" fontId="45" numFmtId="165" xfId="0" applyAlignment="1" applyBorder="1" applyFont="1" applyNumberFormat="1">
      <alignment readingOrder="0"/>
    </xf>
    <xf borderId="43" fillId="0" fontId="45" numFmtId="0" xfId="0" applyAlignment="1" applyBorder="1" applyFont="1">
      <alignment readingOrder="0" shrinkToFit="0" wrapText="1"/>
    </xf>
    <xf borderId="43" fillId="0" fontId="115" numFmtId="0" xfId="0" applyAlignment="1" applyBorder="1" applyFont="1">
      <alignment readingOrder="0"/>
    </xf>
    <xf borderId="44" fillId="0" fontId="45" numFmtId="0" xfId="0" applyAlignment="1" applyBorder="1" applyFont="1">
      <alignment readingOrder="0"/>
    </xf>
    <xf borderId="1" fillId="20" fontId="70" numFmtId="0" xfId="0" applyAlignment="1" applyBorder="1" applyFont="1">
      <alignment readingOrder="0"/>
    </xf>
    <xf borderId="43" fillId="20" fontId="45" numFmtId="0" xfId="0" applyAlignment="1" applyBorder="1" applyFont="1">
      <alignment readingOrder="0"/>
    </xf>
    <xf borderId="31" fillId="20" fontId="45" numFmtId="0" xfId="0" applyAlignment="1" applyBorder="1" applyFont="1">
      <alignment readingOrder="0"/>
    </xf>
    <xf borderId="31" fillId="20" fontId="45" numFmtId="164" xfId="0" applyAlignment="1" applyBorder="1" applyFont="1" applyNumberFormat="1">
      <alignment readingOrder="0"/>
    </xf>
    <xf borderId="31" fillId="20" fontId="45" numFmtId="165" xfId="0" applyAlignment="1" applyBorder="1" applyFont="1" applyNumberFormat="1">
      <alignment readingOrder="0"/>
    </xf>
    <xf borderId="31" fillId="20" fontId="45" numFmtId="0" xfId="0" applyAlignment="1" applyBorder="1" applyFont="1">
      <alignment readingOrder="0" shrinkToFit="0" wrapText="1"/>
    </xf>
    <xf borderId="0" fillId="20" fontId="116" numFmtId="0" xfId="0" applyAlignment="1" applyFont="1">
      <alignment readingOrder="0"/>
    </xf>
    <xf borderId="0" fillId="20" fontId="45" numFmtId="0" xfId="0" applyAlignment="1" applyFont="1">
      <alignment readingOrder="0"/>
    </xf>
    <xf borderId="45" fillId="0" fontId="5" numFmtId="0" xfId="0" applyBorder="1" applyFont="1"/>
    <xf borderId="34" fillId="0" fontId="5" numFmtId="0" xfId="0" applyBorder="1" applyFont="1"/>
    <xf borderId="47" fillId="20" fontId="117" numFmtId="0" xfId="0" applyAlignment="1" applyBorder="1" applyFont="1">
      <alignment readingOrder="0"/>
    </xf>
    <xf borderId="34" fillId="0" fontId="118" numFmtId="0" xfId="0" applyAlignment="1" applyBorder="1" applyFont="1">
      <alignment readingOrder="0"/>
    </xf>
    <xf borderId="42" fillId="20" fontId="70" numFmtId="0" xfId="0" applyAlignment="1" applyBorder="1" applyFont="1">
      <alignment readingOrder="0"/>
    </xf>
    <xf borderId="43" fillId="20" fontId="45" numFmtId="164" xfId="0" applyAlignment="1" applyBorder="1" applyFont="1" applyNumberFormat="1">
      <alignment readingOrder="0"/>
    </xf>
    <xf borderId="43" fillId="20" fontId="45" numFmtId="165" xfId="0" applyAlignment="1" applyBorder="1" applyFont="1" applyNumberFormat="1">
      <alignment readingOrder="0"/>
    </xf>
    <xf borderId="43" fillId="20" fontId="45" numFmtId="0" xfId="0" applyAlignment="1" applyBorder="1" applyFont="1">
      <alignment readingOrder="0" shrinkToFit="0" wrapText="1"/>
    </xf>
    <xf borderId="43" fillId="20" fontId="119" numFmtId="0" xfId="0" applyAlignment="1" applyBorder="1" applyFont="1">
      <alignment readingOrder="0"/>
    </xf>
    <xf borderId="44" fillId="20" fontId="45" numFmtId="0" xfId="0" applyAlignment="1" applyBorder="1" applyFont="1">
      <alignment readingOrder="0"/>
    </xf>
    <xf borderId="44" fillId="0" fontId="120" numFmtId="0" xfId="0" applyAlignment="1" applyBorder="1" applyFont="1">
      <alignment readingOrder="0"/>
    </xf>
    <xf borderId="43" fillId="20" fontId="45" numFmtId="0" xfId="0" applyBorder="1" applyFont="1"/>
    <xf borderId="43" fillId="0" fontId="45" numFmtId="0" xfId="0" applyBorder="1" applyFont="1"/>
    <xf borderId="31" fillId="0" fontId="121" numFmtId="0" xfId="0" applyAlignment="1" applyBorder="1" applyFont="1">
      <alignment readingOrder="0"/>
    </xf>
    <xf borderId="48" fillId="20" fontId="122" numFmtId="0" xfId="0" applyAlignment="1" applyBorder="1" applyFont="1">
      <alignment readingOrder="0"/>
    </xf>
    <xf borderId="49" fillId="20" fontId="45" numFmtId="0" xfId="0" applyAlignment="1" applyBorder="1" applyFont="1">
      <alignment readingOrder="0"/>
    </xf>
    <xf borderId="34" fillId="20" fontId="123" numFmtId="0" xfId="0" applyAlignment="1" applyBorder="1" applyFont="1">
      <alignment readingOrder="0"/>
    </xf>
    <xf borderId="46" fillId="0" fontId="5" numFmtId="0" xfId="0" applyBorder="1" applyFont="1"/>
    <xf borderId="31" fillId="0" fontId="45" numFmtId="0" xfId="0" applyAlignment="1" applyBorder="1" applyFont="1">
      <alignment readingOrder="0"/>
    </xf>
    <xf borderId="31" fillId="20" fontId="124" numFmtId="0" xfId="0" applyAlignment="1" applyBorder="1" applyFont="1">
      <alignment readingOrder="0"/>
    </xf>
    <xf borderId="43" fillId="20" fontId="45" numFmtId="0" xfId="0" applyAlignment="1" applyBorder="1" applyFont="1">
      <alignment readingOrder="0"/>
    </xf>
    <xf borderId="44" fillId="20" fontId="125" numFmtId="0" xfId="0" applyAlignment="1" applyBorder="1" applyFont="1">
      <alignment readingOrder="0"/>
    </xf>
    <xf borderId="44" fillId="0" fontId="45" numFmtId="0" xfId="0" applyAlignment="1" applyBorder="1" applyFont="1">
      <alignment readingOrder="0"/>
    </xf>
    <xf borderId="44" fillId="20" fontId="45" numFmtId="0" xfId="0" applyAlignment="1" applyBorder="1" applyFont="1">
      <alignment readingOrder="0"/>
    </xf>
    <xf borderId="43" fillId="0" fontId="126" numFmtId="0" xfId="0" applyAlignment="1" applyBorder="1" applyFont="1">
      <alignment readingOrder="0" shrinkToFit="0" wrapText="1"/>
    </xf>
    <xf borderId="1" fillId="0" fontId="70" numFmtId="0" xfId="0" applyAlignment="1" applyBorder="1" applyFont="1">
      <alignment readingOrder="0"/>
    </xf>
    <xf borderId="31" fillId="0" fontId="45" numFmtId="0" xfId="0" applyAlignment="1" applyBorder="1" applyFont="1">
      <alignment readingOrder="0"/>
    </xf>
    <xf borderId="31" fillId="0" fontId="45" numFmtId="164" xfId="0" applyAlignment="1" applyBorder="1" applyFont="1" applyNumberFormat="1">
      <alignment readingOrder="0"/>
    </xf>
    <xf borderId="31" fillId="0" fontId="45" numFmtId="165" xfId="0" applyAlignment="1" applyBorder="1" applyFont="1" applyNumberFormat="1">
      <alignment readingOrder="0"/>
    </xf>
    <xf borderId="31" fillId="0" fontId="45" numFmtId="0" xfId="0" applyAlignment="1" applyBorder="1" applyFont="1">
      <alignment readingOrder="0" shrinkToFit="0" wrapText="1"/>
    </xf>
    <xf borderId="43" fillId="0" fontId="45" numFmtId="166" xfId="0" applyAlignment="1" applyBorder="1" applyFont="1" applyNumberFormat="1">
      <alignment readingOrder="0"/>
    </xf>
    <xf borderId="43" fillId="0" fontId="45" numFmtId="167" xfId="0" applyAlignment="1" applyBorder="1" applyFont="1" applyNumberFormat="1">
      <alignment readingOrder="0"/>
    </xf>
    <xf borderId="43" fillId="20" fontId="45" numFmtId="166" xfId="0" applyAlignment="1" applyBorder="1" applyFont="1" applyNumberFormat="1">
      <alignment readingOrder="0"/>
    </xf>
    <xf borderId="0" fillId="0" fontId="70" numFmtId="0" xfId="0" applyAlignment="1" applyFont="1">
      <alignment readingOrder="0"/>
    </xf>
    <xf borderId="0" fillId="0" fontId="45" numFmtId="166" xfId="0" applyAlignment="1" applyFont="1" applyNumberFormat="1">
      <alignment readingOrder="0"/>
    </xf>
    <xf borderId="19" fillId="3" fontId="62" numFmtId="0" xfId="0" applyAlignment="1" applyBorder="1" applyFont="1">
      <alignment readingOrder="0"/>
    </xf>
    <xf borderId="28" fillId="8" fontId="45" numFmtId="0" xfId="0" applyAlignment="1" applyBorder="1" applyFont="1">
      <alignment readingOrder="0"/>
    </xf>
    <xf borderId="21" fillId="3" fontId="127" numFmtId="0" xfId="0" applyAlignment="1" applyBorder="1" applyFont="1">
      <alignment readingOrder="0"/>
    </xf>
    <xf borderId="21" fillId="8" fontId="128" numFmtId="0" xfId="0" applyAlignment="1" applyBorder="1" applyFont="1">
      <alignment readingOrder="0"/>
    </xf>
    <xf borderId="25" fillId="8" fontId="45" numFmtId="0" xfId="0" applyAlignment="1" applyBorder="1" applyFont="1">
      <alignment readingOrder="0"/>
    </xf>
    <xf borderId="23" fillId="8" fontId="45" numFmtId="0" xfId="0" applyAlignment="1" applyBorder="1" applyFont="1">
      <alignment readingOrder="0"/>
    </xf>
    <xf borderId="26" fillId="8" fontId="45" numFmtId="0" xfId="0" applyAlignment="1" applyBorder="1" applyFont="1">
      <alignment readingOrder="0"/>
    </xf>
    <xf borderId="26" fillId="8" fontId="45" numFmtId="0" xfId="0" applyAlignment="1" applyBorder="1" applyFont="1">
      <alignment readingOrder="0"/>
    </xf>
    <xf borderId="45" fillId="20" fontId="129" numFmtId="0" xfId="0" applyAlignment="1" applyBorder="1" applyFont="1">
      <alignment readingOrder="0"/>
    </xf>
    <xf borderId="42" fillId="0" fontId="129" numFmtId="0" xfId="0" applyAlignment="1" applyBorder="1" applyFont="1">
      <alignment readingOrder="0"/>
    </xf>
    <xf borderId="34" fillId="0" fontId="45" numFmtId="0" xfId="0" applyAlignment="1" applyBorder="1" applyFont="1">
      <alignment readingOrder="0"/>
    </xf>
    <xf borderId="1" fillId="20" fontId="129" numFmtId="0" xfId="0" applyAlignment="1" applyBorder="1" applyFont="1">
      <alignment readingOrder="0"/>
    </xf>
    <xf borderId="0" fillId="20" fontId="70" numFmtId="0" xfId="0" applyAlignment="1" applyFont="1">
      <alignment readingOrder="0"/>
    </xf>
    <xf borderId="0" fillId="20" fontId="45" numFmtId="164" xfId="0" applyAlignment="1" applyFont="1" applyNumberFormat="1">
      <alignment readingOrder="0"/>
    </xf>
    <xf borderId="0" fillId="20" fontId="45" numFmtId="166" xfId="0" applyAlignment="1" applyFont="1" applyNumberFormat="1">
      <alignment readingOrder="0"/>
    </xf>
    <xf borderId="0" fillId="20" fontId="45" numFmtId="165" xfId="0" applyAlignment="1" applyFont="1" applyNumberFormat="1">
      <alignment readingOrder="0"/>
    </xf>
    <xf borderId="0" fillId="0" fontId="1" numFmtId="0" xfId="0" applyAlignment="1" applyFont="1">
      <alignment readingOrder="0"/>
    </xf>
    <xf borderId="0" fillId="0" fontId="2" numFmtId="164" xfId="0" applyAlignment="1" applyFont="1" applyNumberFormat="1">
      <alignment readingOrder="0"/>
    </xf>
    <xf borderId="0" fillId="0" fontId="2" numFmtId="164" xfId="0" applyFont="1" applyNumberFormat="1"/>
    <xf borderId="0" fillId="0" fontId="2" numFmtId="0" xfId="0" applyFont="1"/>
    <xf borderId="16" fillId="21" fontId="24" numFmtId="0" xfId="0" applyAlignment="1" applyBorder="1" applyFill="1" applyFont="1">
      <alignment horizontal="center" readingOrder="0"/>
    </xf>
    <xf borderId="18" fillId="21" fontId="5" numFmtId="0" xfId="0" applyBorder="1" applyFont="1"/>
    <xf borderId="27" fillId="3" fontId="25" numFmtId="0" xfId="0" applyAlignment="1" applyBorder="1" applyFont="1">
      <alignment readingOrder="0"/>
    </xf>
    <xf borderId="20" fillId="22" fontId="26" numFmtId="0" xfId="0" applyAlignment="1" applyBorder="1" applyFill="1" applyFont="1">
      <alignment readingOrder="0"/>
    </xf>
    <xf borderId="22" fillId="22" fontId="26" numFmtId="0" xfId="0" applyAlignment="1" applyBorder="1" applyFont="1">
      <alignment readingOrder="0"/>
    </xf>
    <xf borderId="20" fillId="3" fontId="26" numFmtId="0" xfId="0" applyAlignment="1" applyBorder="1" applyFont="1">
      <alignment readingOrder="0"/>
    </xf>
    <xf borderId="21" fillId="3" fontId="26" numFmtId="0" xfId="0" applyAlignment="1" applyBorder="1" applyFont="1">
      <alignment readingOrder="0"/>
    </xf>
    <xf borderId="21" fillId="22" fontId="26" numFmtId="0" xfId="0" applyAlignment="1" applyBorder="1" applyFont="1">
      <alignment readingOrder="0"/>
    </xf>
    <xf borderId="23" fillId="22" fontId="26" numFmtId="0" xfId="0" applyAlignment="1" applyBorder="1" applyFont="1">
      <alignment readingOrder="0"/>
    </xf>
    <xf borderId="0" fillId="3" fontId="26" numFmtId="0" xfId="0" applyAlignment="1" applyFont="1">
      <alignment readingOrder="0"/>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E7F9EF"/>
          <bgColor rgb="FFE7F9EF"/>
        </patternFill>
      </fill>
      <border/>
    </dxf>
    <dxf>
      <font/>
      <fill>
        <patternFill patternType="solid">
          <fgColor rgb="FF8989EB"/>
          <bgColor rgb="FF8989EB"/>
        </patternFill>
      </fill>
      <border/>
    </dxf>
    <dxf>
      <font/>
      <fill>
        <patternFill patternType="solid">
          <fgColor rgb="FFE8E7FC"/>
          <bgColor rgb="FFE8E7FC"/>
        </patternFill>
      </fill>
      <border/>
    </dxf>
  </dxfs>
  <tableStyles count="2">
    <tableStyle count="2" pivot="0" name="Engineer Access Checklist-style">
      <tableStyleElement dxfId="1" type="firstRowStripe"/>
      <tableStyleElement dxfId="2" type="secondRowStripe"/>
    </tableStyle>
    <tableStyle count="3" pivot="0" name="Start Dates-style">
      <tableStyleElement dxfId="3" type="headerRow"/>
      <tableStyleElement dxfId="1" type="firstRowStripe"/>
      <tableStyleElement dxfId="4"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6fba1e33-3ade-4846-8cbd-6bb76fda6ffa}">
    <Anchor>
      <Comment id="{c9905bb7-01fe-4c01-a40e-431a237d8ffa}"/>
    </Anchor>
    <History>
      <Event time="2024-01-04T17:34:25.00" id="{e7beb8e5-42ac-4a31-9bb1-37e7336049f8}">
        <Attribution userId="placeholder@email.com" userName="Elizabeth Mak" userProvider="google-sheets"/>
        <Anchor>
          <Comment id="{c9905bb7-01fe-4c01-a40e-431a237d8ffa}"/>
        </Anchor>
        <Create/>
      </Event>
      <Event time="2024-01-04T17:34:25.00" id="{f1fc68a1-98d1-4fd8-9c65-e92342654a78}">
        <Attribution userId="placeholder@email.com" userName="Elizabeth Mak" userProvider="google-sheets"/>
        <Anchor>
          <Comment id="{c9905bb7-01fe-4c01-a40e-431a237d8ffa}"/>
        </Anchor>
        <Assign userId="laura.davino@disneystreaming.com" userName="laura.davino@disneystreaming.com" userProvider="google-sheets"/>
      </Event>
    </History>
  </Task>
</Tasks>
</file>

<file path=xl/documenttasks/documenttask2.xml><?xml version="1.0" encoding="utf-8"?>
<Tasks xmlns="http://schemas.microsoft.com/office/tasks/2019/documenttasks">
  <Task id="{3e621531-612a-462f-a948-6009b8afa807}">
    <Anchor>
      <Comment id="{af0edc1e-3ba3-4bb6-b148-1db96f2c77bb}"/>
    </Anchor>
    <History>
      <Event time="2024-07-08T15:39:28.00" id="{c24909d5-ac67-4102-8b4b-7a99e11b2593}">
        <Attribution userId="placeholder@email.com" userName="Kim Tran" userProvider="google-sheets"/>
        <Anchor>
          <Comment id="{af0edc1e-3ba3-4bb6-b148-1db96f2c77bb}"/>
        </Anchor>
        <Create/>
      </Event>
      <Event time="2024-07-08T15:39:28.00" id="{e4e37b34-38da-49c8-847a-72fa8b6fe957}">
        <Attribution userId="placeholder@email.com" userName="Kim Tran" userProvider="google-sheets"/>
        <Anchor>
          <Comment id="{af0edc1e-3ba3-4bb6-b148-1db96f2c77bb}"/>
        </Anchor>
        <Assign userId="carlton.clemens@disneystreaming.com" userName="carlton.clemens@disneystreaming.com" userProvider="google-sheets"/>
      </Event>
    </History>
  </Task>
</Tasks>
</file>

<file path=xl/documenttasks/documenttask3.xml><?xml version="1.0" encoding="utf-8"?>
<Tasks xmlns="http://schemas.microsoft.com/office/tasks/2019/documenttasks">
  <Task id="{f297f494-f13b-4359-bab4-8d42b33802f7}">
    <Anchor>
      <Comment id="{c8c4cf86-42a7-4684-98ba-13ecf19050f3}"/>
    </Anchor>
    <History>
      <Event time="2024-07-19T14:44:12.00" id="{355d0bd7-2a2e-49ed-b386-06a5723a2b24}">
        <Attribution userId="placeholder@email.com" userName="Kim Tran" userProvider="google-sheets"/>
        <Anchor>
          <Comment id="{c8c4cf86-42a7-4684-98ba-13ecf19050f3}"/>
        </Anchor>
        <Create/>
      </Event>
      <Event time="2024-07-19T14:44:12.00" id="{25140967-d0d3-481c-bc8e-5c089bd5fb73}">
        <Attribution userId="placeholder@email.com" userName="Kim Tran" userProvider="google-sheets"/>
        <Anchor>
          <Comment id="{c8c4cf86-42a7-4684-98ba-13ecf19050f3}"/>
        </Anchor>
        <Assign userId="kim.tran@disneystreaming.com" userName="kim.tran@disneystreaming.com" userProvider="google-sheets"/>
      </Event>
    </History>
  </Task>
  <Task id="{d50169e8-f3c1-476e-8e50-26bbc972ed68}">
    <Anchor>
      <Comment id="{abb31e59-29ce-4154-9bd0-e9c046e72fab}"/>
    </Anchor>
    <History>
      <Event time="2024-07-19T14:49:00.00" id="{d98acd86-9c8b-4d85-afce-7f83b7735f18}">
        <Attribution userId="placeholder@email.com" userName="Kim Tran" userProvider="google-sheets"/>
        <Anchor>
          <Comment id="{abb31e59-29ce-4154-9bd0-e9c046e72fab}"/>
        </Anchor>
        <Create/>
      </Event>
      <Event time="2024-07-19T14:49:00.00" id="{31c161c3-088f-4526-96ce-102ebf3a5002}">
        <Attribution userId="placeholder@email.com" userName="Kim Tran" userProvider="google-sheets"/>
        <Anchor>
          <Comment id="{abb31e59-29ce-4154-9bd0-e9c046e72fab}"/>
        </Anchor>
        <Assign userId="kim.tran@disneystreaming.com" userName="kim.tran@disneystreaming.com" userProvider="google-sheets"/>
      </Event>
    </History>
  </Task>
  <Task id="{9164780e-1d16-4d55-b12d-a2162f28a74e}">
    <Anchor>
      <Comment id="{20bdf5ea-38a0-4fd3-b5db-0b28bd5dc82c}"/>
    </Anchor>
    <History>
      <Event time="2024-07-19T14:48:16.00" id="{9d28d7ca-0338-4eda-960d-99134e4cf99c}">
        <Attribution userId="placeholder@email.com" userName="Kim Tran" userProvider="google-sheets"/>
        <Anchor>
          <Comment id="{20bdf5ea-38a0-4fd3-b5db-0b28bd5dc82c}"/>
        </Anchor>
        <Create/>
      </Event>
      <Event time="2024-07-19T14:48:16.00" id="{a950c92e-00e9-422f-995d-f09c42371d6f}">
        <Attribution userId="placeholder@email.com" userName="Kim Tran" userProvider="google-sheets"/>
        <Anchor>
          <Comment id="{20bdf5ea-38a0-4fd3-b5db-0b28bd5dc82c}"/>
        </Anchor>
        <Assign userId="kim.tran@disneystreaming.com" userName="kim.tran@disneystreaming.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izabeth.mak@disneystreaming.com" id="{8cd94b78-56c6-4b3f-81a6-4904ac35f601}" userId="elizabeth.mak@disneystreaming.com" providerId="google-sheets"/>
  <x18tc:person displayName="kim.tran@disneystreaming.com" id="{f81c3b53-b769-40cf-8e4a-75124eb9a3cb}" userId="kim.tran@disneystreaming.com" providerId="google-sheets"/>
  <x18tc:person displayName="Laura Davino" id="{5d6a9e02-6bd8-4ded-9db4-681e06ce106b}" providerId="google-sheets"/>
  <x18tc:person displayName="Kim Tran" id="{bfd17de2-632d-49b4-b830-1810262c512c}" providerId="google-sheets"/>
  <x18tc:person displayName="Maurice Dib" id="{aedf5843-5320-443f-a537-1b4b2015621a}" providerId="google-sheets"/>
  <x18tc:person displayName="Elizabeth Mak" id="{350e36dc-79ec-4079-bf5b-b8e5f55cc372}" providerId="google-sheets"/>
  <x18tc:person displayName="laura.davino@disneystreaming.com" id="{544aef1c-52b0-4630-9bb0-62289a179a15}" userId="laura.davino@disneystreaming.com" providerId="google-sheets"/>
  <x18tc:person displayName="carlton.clemens@disneystreaming.com" id="{aef0160b-7a44-4c24-a1fb-cea65a48fe87}" userId="carlton.clemens@disneystreaming.com" providerId="google-sheets"/>
</x18tc:personList>
</file>

<file path=xl/tables/table1.xml><?xml version="1.0" encoding="utf-8"?>
<table xmlns="http://schemas.openxmlformats.org/spreadsheetml/2006/main" headerRowCount="0" ref="B32:F45" displayName="Table_1" name="Table_1" id="1">
  <tableColumns count="5">
    <tableColumn name="Column1" id="1"/>
    <tableColumn name="Column2" id="2"/>
    <tableColumn name="Column3" id="3"/>
    <tableColumn name="Column4" id="4"/>
    <tableColumn name="Column5" id="5"/>
  </tableColumns>
  <tableStyleInfo name="Engineer Access Checklist-style" showColumnStripes="0" showFirstColumn="1" showLastColumn="1" showRowStripes="1"/>
</table>
</file>

<file path=xl/tables/table2.xml><?xml version="1.0" encoding="utf-8"?>
<table xmlns="http://schemas.openxmlformats.org/spreadsheetml/2006/main" ref="A1:D12" displayName="Table_2" name="Table_2" id="2">
  <tableColumns count="4">
    <tableColumn name="Name" id="1"/>
    <tableColumn name="Hiring Manager" id="2"/>
    <tableColumn name="Planned Start Date" id="3"/>
    <tableColumn name="Actual Start Date" id="4"/>
  </tableColumns>
  <tableStyleInfo name="Start Dat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0" dT="2024-01-09T17:37:03.00" personId="{350e36dc-79ec-4079-bf5b-b8e5f55cc372}" id="{84dac167-fd26-4634-9f96-0386bc44ad39}" done="0">
    <x18tc:text xml:space="preserve">- Cut Example Walk through Ticket for live trafficking for training. 
- Cut Test Ticket, due the following week
- When cutting test ticket: Duplicate BOAT-T-04540 &amp; update title to include New Hire's Name. Also delete the ""Trainers CRS"" and keep the ""New Hire CRS"" with updated Dates"</x18tc:text>
  </x18tc:threadedComment>
  <x18tc:threadedComment ref="N10" dT="2024-01-04T19:35:03.00" personId="{5d6a9e02-6bd8-4ded-9db4-681e06ce106b}" id="{cabb53e6-8c79-4221-b289-fad46cff30cb}" done="1">
    <x18tc:text xml:space="preserve">Could we just use this as a template for both trainer and trainee since we may not always need the trainer one assuming we have a "Live" ticket to walk through for training?</x18tc:text>
  </x18tc:threadedComment>
  <x18tc:threadedComment ref="M8" dT="2024-07-15T13:11:10.00" personId="{aedf5843-5320-443f-a537-1b4b2015621a}" id="{2d8c39ee-2646-4550-9741-539a98664464}" done="1">
    <x18tc:text xml:space="preserve">Should be replaced with appropriate BOAT view</x18tc:text>
  </x18tc:threadedComment>
  <x18tc:threadedComment ref="A1" dT="2024-01-04T17:34:25.00" personId="{350e36dc-79ec-4079-bf5b-b8e5f55cc372}" id="{c9905bb7-01fe-4c01-a40e-431a237d8ffa}" done="1">
    <x18tc:text xml:space="preserve">@laura.davino@disneystreaming.com create 2 templatized tickets in airtable.
Assigned to laura.davino@disneystreaming.com</x18tc:text>
    <x18tc:mentions>
      <x18tc:mention mentionpersonId="{544aef1c-52b0-4630-9bb0-62289a179a15}" mentionId="{60dba5fa-bf08-4983-a5c2-c7bf12b1784f}" startIndex="0" length="33"/>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61" dT="2024-07-08T15:39:28.00" personId="{bfd17de2-632d-49b4-b830-1810262c512c}" id="{af0edc1e-3ba3-4bb6-b148-1db96f2c77bb}" done="1">
    <x18tc:text xml:space="preserve">@carlton.clemens@disneystreaming.com could you add Bianca to these?
Assigned to carlton.clemens@disneystreaming.com</x18tc:text>
    <x18tc:mentions>
      <x18tc:mention mentionpersonId="{aef0160b-7a44-4c24-a1fb-cea65a48fe87}" mentionId="{9df7d3fb-60ba-4bb2-a755-c046afe4894c}" startIndex="0" length="36"/>
    </x18tc:mentions>
  </x18tc:threadedComment>
  <x18tc:threadedComment ref="B58" dT="2024-01-12T15:45:32.00" personId="{5d6a9e02-6bd8-4ded-9db4-681e06ce106b}" id="{9556ef1f-b707-4090-8934-cfcace8dd34a}" done="0">
    <x18tc:text xml:space="preserve">@elizabeth.mak@disneystreaming.com &amp; I to go through our cals and adjust these</x18tc:text>
    <x18tc:mentions>
      <x18tc:mention mentionpersonId="{8cd94b78-56c6-4b3f-81a6-4904ac35f601}" mentionId="{d785dba0-6617-41e7-9a35-eea60ce49327}" startIndex="0" length="34"/>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7" dT="2024-07-19T14:44:12.00" personId="{bfd17de2-632d-49b4-b830-1810262c512c}" id="{c8c4cf86-42a7-4684-98ba-13ecf19050f3}" done="1">
    <x18tc:text xml:space="preserve">@kim.tran@disneystreaming.com to create
Assigned to kim.tran@disneystreaming.com</x18tc:text>
    <x18tc:mentions>
      <x18tc:mention mentionpersonId="{f81c3b53-b769-40cf-8e4a-75124eb9a3cb}" mentionId="{94bb4b13-b30d-405d-b3b8-6803869b4df3}" startIndex="0" length="29"/>
    </x18tc:mentions>
  </x18tc:threadedComment>
  <x18tc:threadedComment ref="A1" dT="2024-07-19T14:49:00.00" personId="{bfd17de2-632d-49b4-b830-1810262c512c}" id="{abb31e59-29ce-4154-9bd0-e9c046e72fab}" done="1">
    <x18tc:text xml:space="preserve">@kim.tran@disneystreaming.com move over edits to template
Assigned to kim.tran@disneystreaming.com</x18tc:text>
    <x18tc:mentions>
      <x18tc:mention mentionpersonId="{f81c3b53-b769-40cf-8e4a-75124eb9a3cb}" mentionId="{c07cfd6e-4939-4a3b-8dd2-b235050a45f7}" startIndex="0" length="29"/>
    </x18tc:mentions>
  </x18tc:threadedComment>
  <x18tc:threadedComment ref="L18" dT="2024-07-19T14:48:16.00" personId="{bfd17de2-632d-49b4-b830-1810262c512c}" id="{20bdf5ea-38a0-4fd3-b5db-0b28bd5dc82c}" done="1">
    <x18tc:text xml:space="preserve">@kim.tran@disneystreaming.com add network setup slide
Assigned to kim.tran@disneystreaming.com</x18tc:text>
    <x18tc:mentions>
      <x18tc:mention mentionpersonId="{f81c3b53-b769-40cf-8e4a-75124eb9a3cb}" mentionId="{aa491efa-7727-472c-870c-3c6ca536ac06}" startIndex="0" length="29"/>
    </x18tc:mentions>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wiki.disneystreaming.com/pages/viewpage.action?pageId=109782598"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confluence-uat.disney.com/display/PMAO/Adobe+Launch+Technical+Process+Playbook" TargetMode="External"/><Relationship Id="rId24" Type="http://schemas.openxmlformats.org/officeDocument/2006/relationships/hyperlink" Target="https://confluence-uat.disney.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isney.zoom.us/j/99721187900?pwd=WkFWTU1YeFo3QTJITHRTNXhqa1U5QT09" TargetMode="External"/><Relationship Id="rId9" Type="http://schemas.openxmlformats.org/officeDocument/2006/relationships/hyperlink" Target="https://confluence-uat.disney.com/display/PMAO/IAS+and+Blocking" TargetMode="External"/><Relationship Id="rId26" Type="http://schemas.openxmlformats.org/officeDocument/2006/relationships/hyperlink" Target="https://docs.google.com/presentation/d/10JMfF6rs2Hsw2GgUggp41RHNOCKiNBFQO_zBJMp1p6g/edit"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hyperlink" Target="https://docs.google.com/presentation/d/17lx-JGKjVVJXLequC7v_lSLfpYukNLwWnp83-Sy1jnA/edit" TargetMode="External"/><Relationship Id="rId27" Type="http://schemas.openxmlformats.org/officeDocument/2006/relationships/hyperlink" Target="https://airtable.com/appJO3dsNwYh3ty2b/tblsD3Tm9klabfaGp/viwNZiPzNYMasXeHL/recFcrqNEWyC5aTgq" TargetMode="External"/><Relationship Id="rId5" Type="http://schemas.openxmlformats.org/officeDocument/2006/relationships/hyperlink" Target="https://docs.google.com/presentation/d/11_t03SccN4M9akQZfwiEO0vKT9v0s0iHmqxOZ0UCKb8/edit" TargetMode="External"/><Relationship Id="rId6" Type="http://schemas.openxmlformats.org/officeDocument/2006/relationships/hyperlink" Target="https://docs.google.com/presentation/d/10-iFKNoHBapQTYYdLXPLTk0If_HlPng2S83V6X2EviI/edit?usp=sharing" TargetMode="External"/><Relationship Id="rId29" Type="http://schemas.openxmlformats.org/officeDocument/2006/relationships/drawing" Target="../drawings/drawing1.xml"/><Relationship Id="rId7" Type="http://schemas.openxmlformats.org/officeDocument/2006/relationships/hyperlink" Target="https://airtable.com/appJO3dsNwYh3ty2b/tbl8Kg3KI0xuQ9ZFb/viwvywBW1SZZWDqWN?blocks=hide" TargetMode="External"/><Relationship Id="rId8" Type="http://schemas.openxmlformats.org/officeDocument/2006/relationships/hyperlink" Target="https://wiki.disneystreaming.com/display/PMAO/Trafficking+101" TargetMode="External"/><Relationship Id="rId30" Type="http://schemas.openxmlformats.org/officeDocument/2006/relationships/vmlDrawing" Target="../drawings/vmlDrawing1.vml"/><Relationship Id="rId11" Type="http://schemas.openxmlformats.org/officeDocument/2006/relationships/hyperlink" Target="https://airtable.com/appJO3dsNwYh3ty2b/pagMMcwUAZ3CHvajU/rec92dnp9iA4BzPc9?home=pagbcOY2dF5jfJHS1" TargetMode="External"/><Relationship Id="rId10" Type="http://schemas.openxmlformats.org/officeDocument/2006/relationships/hyperlink" Target="https://docs.google.com/presentation/d/1Y2wm6G4aO_o3VXlGnILhzdhp9A5oCVmNc1Uds-ctTEU/edit?slide=id.gd0b4d203b3_0_21" TargetMode="External"/><Relationship Id="rId13" Type="http://schemas.openxmlformats.org/officeDocument/2006/relationships/hyperlink" Target="https://docs.google.com/presentation/u/0/d/1Ls5Jfwtq-SuV7hwj5WgtxMz4rdsasdUIEagOMCbRYxg/edit" TargetMode="External"/><Relationship Id="rId12" Type="http://schemas.openxmlformats.org/officeDocument/2006/relationships/hyperlink" Target="https://docs.google.com/presentation/d/1iACsAkTIIQlJK7JpO1EOd_iGz7cmF5GqaoBm2CU8l4g/edit" TargetMode="External"/><Relationship Id="rId15" Type="http://schemas.openxmlformats.org/officeDocument/2006/relationships/hyperlink" Target="https://docs.google.com/spreadsheets/d/1224rh6uJdu0P_mXXKCiu7d6s7SYyeAh6zPrYmsxx6CU/edit" TargetMode="External"/><Relationship Id="rId14" Type="http://schemas.openxmlformats.org/officeDocument/2006/relationships/hyperlink" Target="https://airtable.com/appJO3dsNwYh3ty2b/pagMMcwUAZ3CHvajU/rec9EPBfN9OngKuEf?home=pagbcOY2dF5jfJHS1" TargetMode="External"/><Relationship Id="rId17" Type="http://schemas.openxmlformats.org/officeDocument/2006/relationships/hyperlink" Target="https://confluence-uat.disney.com/display/PMAO/Kochava" TargetMode="External"/><Relationship Id="rId16" Type="http://schemas.openxmlformats.org/officeDocument/2006/relationships/hyperlink" Target="https://confluence-uat.disney.com/display/PMAO/Platform+Conversion+Pixel+Generation"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airtable.com/appJO3dsNwYh3ty2b/tblsD3Tm9klabfaGp/viwpJMo6CeejCoJea/recw3DEdDLIKwR07l" TargetMode="External"/><Relationship Id="rId22" Type="http://schemas.openxmlformats.org/officeDocument/2006/relationships/hyperlink" Target="https://airtable.com/appJO3dsNwYh3ty2b/tblsD3Tm9klabfaGp/viwIa9RFxt2WbxHOs/recq5H4isomSuWJcD" TargetMode="External"/><Relationship Id="rId21" Type="http://schemas.openxmlformats.org/officeDocument/2006/relationships/hyperlink" Target="https://confluence-uat.disney.com/display/PMAO/Studio+Tagging+Process" TargetMode="External"/><Relationship Id="rId24" Type="http://schemas.openxmlformats.org/officeDocument/2006/relationships/hyperlink" Target="https://airtable.com/appJO3dsNwYh3ty2b/tblsD3Tm9klabfaGp/viwNZiPzNYMasXeHL/recFcrqNEWyC5aTgq" TargetMode="External"/><Relationship Id="rId23" Type="http://schemas.openxmlformats.org/officeDocument/2006/relationships/hyperlink" Target="https://docs.google.com/presentation/d/10JMfF6rs2Hsw2GgUggp41RHNOCKiNBFQO_zBJMp1p6g/edit" TargetMode="External"/><Relationship Id="rId1" Type="http://schemas.openxmlformats.org/officeDocument/2006/relationships/hyperlink" Target="https://teams.microsoft.com/l/meetup-join/19%3ameeting_ZmFkMDUyZDgtODdhOC00MzQxLWFkZWEtOGEyNTM2MzRlNzFi%40thread.v2/0?context=%7b%22Tid%22%3a%2256b731a8-a2ac-4c32-bf6b-616810e913c6%22%2c%22Oid%22%3a%221a06a552-b83c-48bf-94ab-5cae5f3ea9ae%22%7d"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airtable.com/appJO3dsNwYh3ty2b/tbl8Kg3KI0xuQ9ZFb/viwvywBW1SZZWDqWN?blocks=hide" TargetMode="External"/><Relationship Id="rId9" Type="http://schemas.openxmlformats.org/officeDocument/2006/relationships/hyperlink" Target="https://docs.google.com/presentation/d/1iACsAkTIIQlJK7JpO1EOd_iGz7cmF5GqaoBm2CU8l4g/edit" TargetMode="External"/><Relationship Id="rId26" Type="http://schemas.openxmlformats.org/officeDocument/2006/relationships/hyperlink" Target="https://confluence.disney.com/pages/viewpage.action?pageId=1553144381" TargetMode="External"/><Relationship Id="rId25" Type="http://schemas.openxmlformats.org/officeDocument/2006/relationships/hyperlink" Target="https://docs.google.com/presentation/d/17lx-JGKjVVJXLequC7v_lSLfpYukNLwWnp83-Sy1jnA/edit" TargetMode="External"/><Relationship Id="rId27" Type="http://schemas.openxmlformats.org/officeDocument/2006/relationships/drawing" Target="../drawings/drawing2.xml"/><Relationship Id="rId5" Type="http://schemas.openxmlformats.org/officeDocument/2006/relationships/hyperlink" Target="https://wiki.disneystreaming.com/display/PMAO/Trafficking+101" TargetMode="External"/><Relationship Id="rId6" Type="http://schemas.openxmlformats.org/officeDocument/2006/relationships/hyperlink" Target="https://confluence-uat.disney.com/display/PMAO/IAS+and+Blocking" TargetMode="External"/><Relationship Id="rId7" Type="http://schemas.openxmlformats.org/officeDocument/2006/relationships/hyperlink" Target="https://docs.google.com/presentation/d/1Y2wm6G4aO_o3VXlGnILhzdhp9A5oCVmNc1Uds-ctTEU/edit?slide=id.gd0b4d203b3_0_21" TargetMode="External"/><Relationship Id="rId8" Type="http://schemas.openxmlformats.org/officeDocument/2006/relationships/hyperlink" Target="https://airtable.com/appJO3dsNwYh3ty2b/pagMMcwUAZ3CHvajU/rec92dnp9iA4BzPc9?home=pagbcOY2dF5jfJHS1" TargetMode="External"/><Relationship Id="rId11" Type="http://schemas.openxmlformats.org/officeDocument/2006/relationships/hyperlink" Target="https://airtable.com/appJO3dsNwYh3ty2b/pagMMcwUAZ3CHvajU/rec9EPBfN9OngKuEf?home=pagbcOY2dF5jfJHS1" TargetMode="External"/><Relationship Id="rId10" Type="http://schemas.openxmlformats.org/officeDocument/2006/relationships/hyperlink" Target="https://docs.google.com/presentation/u/0/d/1Ls5Jfwtq-SuV7hwj5WgtxMz4rdsasdUIEagOMCbRYxg/edit" TargetMode="External"/><Relationship Id="rId13" Type="http://schemas.openxmlformats.org/officeDocument/2006/relationships/hyperlink" Target="https://confluence.disney.com/display/PMAO/Platform+Conversion+Pixel+Generation" TargetMode="External"/><Relationship Id="rId12" Type="http://schemas.openxmlformats.org/officeDocument/2006/relationships/hyperlink" Target="https://docs.google.com/spreadsheets/d/1224rh6uJdu0P_mXXKCiu7d6s7SYyeAh6zPrYmsxx6CU/edit" TargetMode="External"/><Relationship Id="rId15" Type="http://schemas.openxmlformats.org/officeDocument/2006/relationships/hyperlink" Target="https://airtable.com/appJO3dsNwYh3ty2b/tblsD3Tm9klabfaGp/viwZ6I7Qe0fWm6e3U/recPBd5HxcCuoPYcW" TargetMode="External"/><Relationship Id="rId14" Type="http://schemas.openxmlformats.org/officeDocument/2006/relationships/hyperlink" Target="https://confluence-uat.disney.com/display/PMAO/Kochava" TargetMode="External"/><Relationship Id="rId17" Type="http://schemas.openxmlformats.org/officeDocument/2006/relationships/hyperlink" Target="https://wiki.disneystreaming.com/pages/viewpage.action?pageId=109782598" TargetMode="External"/><Relationship Id="rId16" Type="http://schemas.openxmlformats.org/officeDocument/2006/relationships/hyperlink" Target="https://docs.google.com/spreadsheets/d/1IKJB56UpsutANEhnTIeFHCQXcj7EEGDcu9bZqUf5G8M/edit" TargetMode="External"/><Relationship Id="rId19" Type="http://schemas.openxmlformats.org/officeDocument/2006/relationships/hyperlink" Target="https://docs.google.com/presentation/d/1Mg--RugparxB0Djq-tUltVhUD4YpjYRNQqlA2hjnMuY/edit" TargetMode="External"/><Relationship Id="rId18" Type="http://schemas.openxmlformats.org/officeDocument/2006/relationships/hyperlink" Target="https://confluence-uat.disney.com/display/PMAO/Adobe+Launch+Technical+Process+Playbook" TargetMode="Externa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airtable.com/appJO3dsNwYh3ty2b/tbl8Kg3KI0xuQ9ZFb/viwvywBW1SZZWDqWN?blocks=hide" TargetMode="External"/><Relationship Id="rId9" Type="http://schemas.openxmlformats.org/officeDocument/2006/relationships/hyperlink" Target="https://docs.google.com/presentation/d/1iACsAkTIIQlJK7JpO1EOd_iGz7cmF5GqaoBm2CU8l4g/edit" TargetMode="External"/><Relationship Id="rId5" Type="http://schemas.openxmlformats.org/officeDocument/2006/relationships/hyperlink" Target="https://wiki.disneystreaming.com/display/PMAO/Trafficking+101" TargetMode="External"/><Relationship Id="rId6" Type="http://schemas.openxmlformats.org/officeDocument/2006/relationships/hyperlink" Target="https://confluence-uat.disney.com/display/PMAO/IAS+and+Blocking" TargetMode="External"/><Relationship Id="rId7" Type="http://schemas.openxmlformats.org/officeDocument/2006/relationships/hyperlink" Target="https://docs.google.com/presentation/d/1Y2wm6G4aO_o3VXlGnILhzdhp9A5oCVmNc1Uds-ctTEU/edit?slide=id.gd0b4d203b3_0_21" TargetMode="External"/><Relationship Id="rId8" Type="http://schemas.openxmlformats.org/officeDocument/2006/relationships/hyperlink" Target="https://airtable.com/appJO3dsNwYh3ty2b/pagMMcwUAZ3CHvajU/rec92dnp9iA4BzPc9?home=pagbcOY2dF5jfJHS1" TargetMode="External"/><Relationship Id="rId11" Type="http://schemas.openxmlformats.org/officeDocument/2006/relationships/hyperlink" Target="https://confluence-uat.disney.com/display/PMAO/Kochava" TargetMode="External"/><Relationship Id="rId10" Type="http://schemas.openxmlformats.org/officeDocument/2006/relationships/hyperlink" Target="https://confluence-uat.disney.com/display/PMAO/Platform+Conversion+Pixel+Generation" TargetMode="External"/><Relationship Id="rId13" Type="http://schemas.openxmlformats.org/officeDocument/2006/relationships/hyperlink" Target="https://wiki.disneystreaming.com/pages/viewpage.action?pageId=109782598" TargetMode="External"/><Relationship Id="rId12" Type="http://schemas.openxmlformats.org/officeDocument/2006/relationships/hyperlink" Target="https://docs.google.com/spreadsheets/d/1IKJB56UpsutANEhnTIeFHCQXcj7EEGDcu9bZqUf5G8M/edit" TargetMode="External"/><Relationship Id="rId15" Type="http://schemas.openxmlformats.org/officeDocument/2006/relationships/hyperlink" Target="https://docs.google.com/presentation/d/1Mg--RugparxB0Djq-tUltVhUD4YpjYRNQqlA2hjnMuY/edit" TargetMode="External"/><Relationship Id="rId14" Type="http://schemas.openxmlformats.org/officeDocument/2006/relationships/hyperlink" Target="https://confluence-uat.disney.com/display/PMAO/Adobe+Launch+Technical+Process+Playbook" TargetMode="External"/><Relationship Id="rId17" Type="http://schemas.openxmlformats.org/officeDocument/2006/relationships/hyperlink" Target="https://docs.google.com/presentation/d/10JMfF6rs2Hsw2GgUggp41RHNOCKiNBFQO_zBJMp1p6g/edit" TargetMode="External"/><Relationship Id="rId16" Type="http://schemas.openxmlformats.org/officeDocument/2006/relationships/hyperlink" Target="https://airtable.com/appJO3dsNwYh3ty2b/tblsD3Tm9klabfaGp/viwpJMo6CeejCoJea/recw3DEdDLIKwR07l" TargetMode="External"/><Relationship Id="rId19" Type="http://schemas.openxmlformats.org/officeDocument/2006/relationships/hyperlink" Target="https://docs.google.com/presentation/d/17lx-JGKjVVJXLequC7v_lSLfpYukNLwWnp83-Sy1jnA/edit" TargetMode="External"/><Relationship Id="rId18" Type="http://schemas.openxmlformats.org/officeDocument/2006/relationships/hyperlink" Target="https://airtable.com/appJO3dsNwYh3ty2b/tblsD3Tm9klabfaGp/viwNZiPzNYMasXeHL/recFcrqNEWyC5aTg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airtable.com/appJO3dsNwYh3ty2b/tbl8Kg3KI0xuQ9ZFb/viwvywBW1SZZWDqWN?blocks=hide"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airtable.com/appJO3dsNwYh3ty2b/tblsD3Tm9klabfaGp/viwNZiPzNYMasXeHL/recFcrqNEWyC5aTgq" TargetMode="External"/><Relationship Id="rId7"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https://wiki.disneystreaming.com/pages/viewpage.action?spaceKey=MER&amp;title=PayPal+International+Testing" TargetMode="External"/><Relationship Id="rId41" Type="http://schemas.openxmlformats.org/officeDocument/2006/relationships/table" Target="../tables/table1.xml"/><Relationship Id="rId22" Type="http://schemas.openxmlformats.org/officeDocument/2006/relationships/hyperlink" Target="https://confluence.disney.com/display/PMAO/Paid+Media+Ad+Ops+Home" TargetMode="External"/><Relationship Id="rId21" Type="http://schemas.openxmlformats.org/officeDocument/2006/relationships/hyperlink" Target="https://confluence.disney.com/display/PRODPLAT/GitHub+Getting+Started" TargetMode="External"/><Relationship Id="rId24" Type="http://schemas.openxmlformats.org/officeDocument/2006/relationships/hyperlink" Target="https://jenkins-central.global.twdcgrid.net/" TargetMode="External"/><Relationship Id="rId23" Type="http://schemas.openxmlformats.org/officeDocument/2006/relationships/hyperlink" Target="https://macpaw.com/how-to/install-pip-mac" TargetMode="External"/><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shrr8QV1BqgWconRP" TargetMode="External"/><Relationship Id="rId26" Type="http://schemas.openxmlformats.org/officeDocument/2006/relationships/hyperlink" Target="https://k8s-dashboard-cp2-prod.us-east-1.dpegrid.net/" TargetMode="External"/><Relationship Id="rId25" Type="http://schemas.openxmlformats.org/officeDocument/2006/relationships/hyperlink" Target="https://spinnaker.prod.hulu.com/" TargetMode="External"/><Relationship Id="rId28" Type="http://schemas.openxmlformats.org/officeDocument/2006/relationships/hyperlink" Target="https://dodgeball.twdcgrid.net/" TargetMode="External"/><Relationship Id="rId27" Type="http://schemas.openxmlformats.org/officeDocument/2006/relationships/hyperlink" Target="https://confluence.disney.com/display/PRODPLAT/Dodgeball+Overview" TargetMode="External"/><Relationship Id="rId5" Type="http://schemas.openxmlformats.org/officeDocument/2006/relationships/hyperlink" Target="https://disney.service-now.com/dtoolsitsp?id=sc_cat_item&amp;sys_id=dd08ac41877b86d0e46c53d73cbb3590" TargetMode="External"/><Relationship Id="rId6" Type="http://schemas.openxmlformats.org/officeDocument/2006/relationships/hyperlink" Target="https://airtable.com/appJO3dsNwYh3ty2b/tblsD3Tm9klabfaGp/viwQ4RDHO9qhfYTl1/recoB0Tg8dNDcLnGU" TargetMode="External"/><Relationship Id="rId29" Type="http://schemas.openxmlformats.org/officeDocument/2006/relationships/hyperlink" Target="https://confluence.disney.com/pages/viewpage.action?pageId=1202542071" TargetMode="External"/><Relationship Id="rId7" Type="http://schemas.openxmlformats.org/officeDocument/2006/relationships/hyperlink" Target="https://docs.google.com/presentation/d/1pIEsKGaISFjwaUJMhnVXikUzsgjTAf8ea0jg7Qien0c/edit" TargetMode="External"/><Relationship Id="rId8" Type="http://schemas.openxmlformats.org/officeDocument/2006/relationships/hyperlink" Target="https://disney.service-now.com/dtoolsitsp?id=sc_cat_item&amp;sys_id=d05fba83db3e2f00fd5a839648961924" TargetMode="External"/><Relationship Id="rId31" Type="http://schemas.openxmlformats.org/officeDocument/2006/relationships/hyperlink" Target="https://portal.twdcgrid.net/home" TargetMode="External"/><Relationship Id="rId30" Type="http://schemas.openxmlformats.org/officeDocument/2006/relationships/hyperlink" Target="https://disney.service-now.com/sys_user_group.do?sys_id=f2e3f91597abdd588ac13b971153af0c" TargetMode="External"/><Relationship Id="rId11" Type="http://schemas.openxmlformats.org/officeDocument/2006/relationships/hyperlink" Target="https://airtable.com/appveL10KaxDGI8rL/tbl0l11cbFlsRVVqX/viwemr5y5XwimGB7c?blocks=bipi6KWPSU4wbiJgs" TargetMode="External"/><Relationship Id="rId33" Type="http://schemas.openxmlformats.org/officeDocument/2006/relationships/hyperlink" Target="https://confluence.disney.com/display/PRODPLAT/Add+SSH+public+key+to+GitHub" TargetMode="External"/><Relationship Id="rId10" Type="http://schemas.openxmlformats.org/officeDocument/2006/relationships/hyperlink" Target="https://airtable.com/appveL10KaxDGI8rL/shrr8QV1BqgWconRP" TargetMode="External"/><Relationship Id="rId32" Type="http://schemas.openxmlformats.org/officeDocument/2006/relationships/hyperlink" Target="https://portal.twdcgrid.net/devxcli/documentation" TargetMode="External"/><Relationship Id="rId13" Type="http://schemas.openxmlformats.org/officeDocument/2006/relationships/hyperlink" Target="https://disney.service-now.com/dtoolsitsp?id=kb_article&amp;sys_id=c1300a9a479a7ed05e6e7fa4116d43a4" TargetMode="External"/><Relationship Id="rId35" Type="http://schemas.openxmlformats.org/officeDocument/2006/relationships/hyperlink" Target="https://airtable.com/appveL10KaxDGI8rL/tbl0l11cbFlsRVVqX/viwemr5y5XwimGB7c?blocks=bipi6KWPSU4wbiJgs" TargetMode="External"/><Relationship Id="rId12" Type="http://schemas.openxmlformats.org/officeDocument/2006/relationships/hyperlink" Target="https://airtable.com/appveL10KaxDGI8rL/tbl0l11cbFlsRVVqX/viwemr5y5XwimGB7c?blocks=bipi6KWPSU4wbiJgs" TargetMode="External"/><Relationship Id="rId34" Type="http://schemas.openxmlformats.org/officeDocument/2006/relationships/hyperlink" Target="https://disney.service-now.com/dtoolsitsp?id=sc_cat_item&amp;sys_id=1c4941bf4f07d2406a659ffd0210c753" TargetMode="External"/><Relationship Id="rId15"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 Id="rId37" Type="http://schemas.openxmlformats.org/officeDocument/2006/relationships/hyperlink" Target="https://confluence.disney.com/spaces/MSSE/pages/1928280447/How+To+-+Access+Disney+1password" TargetMode="External"/><Relationship Id="rId14" Type="http://schemas.openxmlformats.org/officeDocument/2006/relationships/hyperlink" Target="https://console.cloud.google.com/apis/credentials/consent?project=gcp-adops" TargetMode="External"/><Relationship Id="rId36" Type="http://schemas.openxmlformats.org/officeDocument/2006/relationships/hyperlink" Target="https://disney.service-now.com/dtoolsitsp?id=sc_cat_item&amp;sys_id=74420f9d87b5ced8e46c53d73cbb3568" TargetMode="External"/><Relationship Id="rId17"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39" Type="http://schemas.openxmlformats.org/officeDocument/2006/relationships/drawing" Target="../drawings/drawing5.xml"/><Relationship Id="rId16"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38" Type="http://schemas.openxmlformats.org/officeDocument/2006/relationships/hyperlink" Target="https://portal.twdcgrid.net/tools/engineering-standards-be5d0848-8295-4f92-be5c-c9a525e2738f/tool" TargetMode="External"/><Relationship Id="rId19" Type="http://schemas.openxmlformats.org/officeDocument/2006/relationships/hyperlink" Target="https://wiki.disneystreaming.com/display/GEP/Payment+Test+Cards+-+For+End-to-End+testing+in+QA+Environment" TargetMode="External"/><Relationship Id="rId18" Type="http://schemas.openxmlformats.org/officeDocument/2006/relationships/hyperlink" Target="https://wiki.disneystreaming.com/display/PMAO/Onboarding+Guid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irtable.com/appJO3dsNwYh3ty2b/tblsD3Tm9klabfaGp/viw1qKRrHGSQ0Gd1j?blocks=hide" TargetMode="External"/><Relationship Id="rId2" Type="http://schemas.openxmlformats.org/officeDocument/2006/relationships/hyperlink" Target="https://docs.google.com/presentation/d/10JMfF6rs2Hsw2GgUggp41RHNOCKiNBFQO_zBJMp1p6g/edit" TargetMode="External"/><Relationship Id="rId3" Type="http://schemas.openxmlformats.org/officeDocument/2006/relationships/hyperlink" Target="https://airtable.com/appJO3dsNwYh3ty2b/shrke6ZEwB0Q1hE1W" TargetMode="External"/><Relationship Id="rId4" Type="http://schemas.openxmlformats.org/officeDocument/2006/relationships/hyperlink" Target="https://airtable.com/appJO3dsNwYh3ty2b/shrrW17i6kjSyLEQw" TargetMode="External"/><Relationship Id="rId9" Type="http://schemas.openxmlformats.org/officeDocument/2006/relationships/hyperlink" Target="https://docs.google.com/spreadsheets/d/1FxQIG18SFXaw3U59q9wYByLYLDehr5r-d_QY_uJCGcE/edit" TargetMode="External"/><Relationship Id="rId5" Type="http://schemas.openxmlformats.org/officeDocument/2006/relationships/hyperlink" Target="https://adops.disneystreaming.com/" TargetMode="External"/><Relationship Id="rId6" Type="http://schemas.openxmlformats.org/officeDocument/2006/relationships/hyperlink" Target="https://confluence.disney.com/display/PMAO/Tools" TargetMode="External"/><Relationship Id="rId7" Type="http://schemas.openxmlformats.org/officeDocument/2006/relationships/hyperlink" Target="https://confluence-uat.disney.com/display/PMAO/Ad+Ops+101" TargetMode="External"/><Relationship Id="rId8" Type="http://schemas.openxmlformats.org/officeDocument/2006/relationships/hyperlink" Target="https://disney.cloud.appspace.com/console/" TargetMode="External"/><Relationship Id="rId11" Type="http://schemas.openxmlformats.org/officeDocument/2006/relationships/hyperlink" Target="https://confluence.disney.com/display/DSSNE/Network+Infrastructure+Home" TargetMode="External"/><Relationship Id="rId10" Type="http://schemas.openxmlformats.org/officeDocument/2006/relationships/hyperlink" Target="https://confluence.disney.com/pages/viewpage.action?spaceKey=InfraEng&amp;title=DS-Connect-Me+End+User+Documentation" TargetMode="External"/><Relationship Id="rId13" Type="http://schemas.openxmlformats.org/officeDocument/2006/relationships/hyperlink" Target="https://jedi.disney.com/" TargetMode="External"/><Relationship Id="rId12" Type="http://schemas.openxmlformats.org/officeDocument/2006/relationships/hyperlink" Target="https://jedi.disney.com/" TargetMode="External"/><Relationship Id="rId1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cs.google.com/spreadsheets/d/1FxQIG18SFXaw3U59q9wYByLYLDehr5r-d_QY_uJCGcE/edit" TargetMode="External"/><Relationship Id="rId22" Type="http://schemas.openxmlformats.org/officeDocument/2006/relationships/hyperlink" Target="https://confluence.disney.com/pages/viewpage.action?spaceKey=InfraEng&amp;title=DS-Connect-Me+End+User+Documentation" TargetMode="External"/><Relationship Id="rId21" Type="http://schemas.openxmlformats.org/officeDocument/2006/relationships/hyperlink" Target="https://confluence-uat.disney.com/display/PMAO/Essential+Trafficking+Tools" TargetMode="External"/><Relationship Id="rId24" Type="http://schemas.openxmlformats.org/officeDocument/2006/relationships/hyperlink" Target="https://docs.google.com/spreadsheets/d/1avc7cBCIeGjDALmORXxI030XwINJu_KNcZI901NJBWw/edit" TargetMode="External"/><Relationship Id="rId23" Type="http://schemas.openxmlformats.org/officeDocument/2006/relationships/hyperlink" Target="https://docs.google.com/spreadsheets/d/1rdJICY7AklTyx7QZW6LfxLULPLTT68Bfd8rvuKyc32A/edit"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airtable.com/appJO3dsNwYh3ty2b/tblsD3Tm9klabfaGp/viw1qKRrHGSQ0Gd1j?blocks=hide" TargetMode="External"/><Relationship Id="rId9" Type="http://schemas.openxmlformats.org/officeDocument/2006/relationships/hyperlink" Target="https://h5validator.appspot.com/dcm/asset" TargetMode="External"/><Relationship Id="rId26" Type="http://schemas.openxmlformats.org/officeDocument/2006/relationships/hyperlink" Target="https://docs.google.com/spreadsheets/d/1IKJB56UpsutANEhnTIeFHCQXcj7EEGDcu9bZqUf5G8M/edit" TargetMode="External"/><Relationship Id="rId25" Type="http://schemas.openxmlformats.org/officeDocument/2006/relationships/hyperlink" Target="https://drive.google.com/drive/folders/1mcOCdwnVcSoLE9ZUGlkmT4K18su1iV_P" TargetMode="External"/><Relationship Id="rId28" Type="http://schemas.openxmlformats.org/officeDocument/2006/relationships/hyperlink" Target="https://airtable.com/appJO3dsNwYh3ty2b/pagMMcwUAZ3CHvajU/rec92dnp9iA4BzPc9?home=pagbcOY2dF5jfJHS1" TargetMode="External"/><Relationship Id="rId27" Type="http://schemas.openxmlformats.org/officeDocument/2006/relationships/hyperlink" Target="https://drive.google.com/drive/folders/1rFW_uIceLZS1CDkIq_db5Kw60yWiCh0q"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airtable.com/appJO3dsNwYh3ty2b/shrke6ZEwB0Q1hE1W" TargetMode="External"/><Relationship Id="rId29" Type="http://schemas.openxmlformats.org/officeDocument/2006/relationships/hyperlink" Target="https://airtable.com/appJO3dsNwYh3ty2b/pagMMcwUAZ3CHvajU/rec92dnp9iA4BzPc9?home=pagbcOY2dF5jfJHS1" TargetMode="External"/><Relationship Id="rId7" Type="http://schemas.openxmlformats.org/officeDocument/2006/relationships/hyperlink" Target="https://airtable.com/appJO3dsNwYh3ty2b/shrrW17i6kjSyLEQw" TargetMode="External"/><Relationship Id="rId8" Type="http://schemas.openxmlformats.org/officeDocument/2006/relationships/hyperlink" Target="https://adops.disneystreaming.com/" TargetMode="External"/><Relationship Id="rId31" Type="http://schemas.openxmlformats.org/officeDocument/2006/relationships/hyperlink" Target="https://airtable.com/appJO3dsNwYh3ty2b/tblsD3Tm9klabfaGp/viwplmP4NKNr0p7kE/recwVfmhkagjsaQSY" TargetMode="External"/><Relationship Id="rId30" Type="http://schemas.openxmlformats.org/officeDocument/2006/relationships/hyperlink" Target="https://airtable.com/appJO3dsNwYh3ty2b/tblsD3Tm9klabfaGp/viwpJMo6CeejCoJea/recw3DEdDLIKwR07l" TargetMode="External"/><Relationship Id="rId11" Type="http://schemas.openxmlformats.org/officeDocument/2006/relationships/hyperlink" Target="http://go.kochava.com/" TargetMode="External"/><Relationship Id="rId33" Type="http://schemas.openxmlformats.org/officeDocument/2006/relationships/hyperlink" Target="https://airtable.com/appJO3dsNwYh3ty2b/tblsD3Tm9klabfaGp/viwZ6I7Qe0fWm6e3U/recPBd5HxcCuoPYcW" TargetMode="External"/><Relationship Id="rId10" Type="http://schemas.openxmlformats.org/officeDocument/2006/relationships/hyperlink" Target="https://reporting.integralplatform.com/uaa/saml/disney" TargetMode="External"/><Relationship Id="rId32" Type="http://schemas.openxmlformats.org/officeDocument/2006/relationships/hyperlink" Target="https://airtable.com/appJO3dsNwYh3ty2b/pagMMcwUAZ3CHvajU/rec9EPBfN9OngKuEf?home=pagbcOY2dF5jfJHS1" TargetMode="External"/><Relationship Id="rId13" Type="http://schemas.openxmlformats.org/officeDocument/2006/relationships/hyperlink" Target="https://experience.adobe.com/" TargetMode="External"/><Relationship Id="rId35" Type="http://schemas.openxmlformats.org/officeDocument/2006/relationships/hyperlink" Target="https://airtable.com/appJO3dsNwYh3ty2b/tblsD3Tm9klabfaGp/viwZ6I7Qe0fWm6e3U/rec6SkEIyvcc9ls2i" TargetMode="External"/><Relationship Id="rId12" Type="http://schemas.openxmlformats.org/officeDocument/2006/relationships/hyperlink" Target="https://docs.google.com/spreadsheets/d/1224rh6uJdu0P_mXXKCiu7d6s7SYyeAh6zPrYmsxx6CU/edit" TargetMode="External"/><Relationship Id="rId34" Type="http://schemas.openxmlformats.org/officeDocument/2006/relationships/hyperlink" Target="https://airtable.com/appJO3dsNwYh3ty2b/tblsD3Tm9klabfaGp/viwZ6I7Qe0fWm6e3U/recieDbPXetN16PcJ" TargetMode="External"/><Relationship Id="rId15" Type="http://schemas.openxmlformats.org/officeDocument/2006/relationships/hyperlink" Target="https://wiki.disneystreaming.com/pages/viewpage.action?spaceKey=MER&amp;title=PayPal+International+Testing" TargetMode="External"/><Relationship Id="rId37" Type="http://schemas.openxmlformats.org/officeDocument/2006/relationships/hyperlink" Target="https://airtable.com/appJO3dsNwYh3ty2b/tblsD3Tm9klabfaGp/viwNZiPzNYMasXeHL/recFcrqNEWyC5aTgq" TargetMode="External"/><Relationship Id="rId14" Type="http://schemas.openxmlformats.org/officeDocument/2006/relationships/hyperlink" Target="https://wiki.disneystreaming.com/display/GEP/Payment+Test+Cards+-+For+End-to-End+testing+in+QA+Environment" TargetMode="External"/><Relationship Id="rId36" Type="http://schemas.openxmlformats.org/officeDocument/2006/relationships/hyperlink" Target="https://airtable.com/appJO3dsNwYh3ty2b/tblsD3Tm9klabfaGp/viwZ6I7Qe0fWm6e3U/recZLeTQAvpnKvEju" TargetMode="External"/><Relationship Id="rId17" Type="http://schemas.openxmlformats.org/officeDocument/2006/relationships/hyperlink" Target="https://stage-web.disneyplus.com/" TargetMode="External"/><Relationship Id="rId39" Type="http://schemas.openxmlformats.org/officeDocument/2006/relationships/vmlDrawing" Target="../drawings/vmlDrawing2.vml"/><Relationship Id="rId16" Type="http://schemas.openxmlformats.org/officeDocument/2006/relationships/hyperlink" Target="https://docs.google.com/spreadsheets/d/1lfXnM2FbMENHVpARfL5rMd4FsH8SMUsz76dNXlL8uTM/edit" TargetMode="External"/><Relationship Id="rId38" Type="http://schemas.openxmlformats.org/officeDocument/2006/relationships/drawing" Target="../drawings/drawing7.xml"/><Relationship Id="rId19" Type="http://schemas.openxmlformats.org/officeDocument/2006/relationships/hyperlink" Target="https://disney.cloud.appspace.com/console/" TargetMode="External"/><Relationship Id="rId18" Type="http://schemas.openxmlformats.org/officeDocument/2006/relationships/hyperlink" Target="https://confluence-uat.disney.com/display/PMAO/Ad+Ops+10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irtable.com/appJO3dsNwYh3ty2b/tblsD3Tm9klabfaGp/viwQ4RDHO9qhfYTl1/recoB0Tg8dNDcLnGU" TargetMode="External"/><Relationship Id="rId2" Type="http://schemas.openxmlformats.org/officeDocument/2006/relationships/hyperlink" Target="https://docs.google.com/presentation/d/1pIEsKGaISFjwaUJMhnVXikUzsgjTAf8ea0jg7Qien0c/edit" TargetMode="External"/><Relationship Id="rId3" Type="http://schemas.openxmlformats.org/officeDocument/2006/relationships/hyperlink" Target="https://airtable.com/appveL10KaxDGI8rL/shrr8QV1BqgWconRP" TargetMode="External"/><Relationship Id="rId4" Type="http://schemas.openxmlformats.org/officeDocument/2006/relationships/hyperlink" Target="https://airtable.com/appveL10KaxDGI8rL/tbl0l11cbFlsRVVqX/viwemr5y5XwimGB7c?blocks=bipi6KWPSU4wbiJgs" TargetMode="External"/><Relationship Id="rId9" Type="http://schemas.openxmlformats.org/officeDocument/2006/relationships/hyperlink" Target="https://wiki.disneystreaming.com/display/PMAO/Onboarding+Guide" TargetMode="External"/><Relationship Id="rId5" Type="http://schemas.openxmlformats.org/officeDocument/2006/relationships/hyperlink" Target="https://airtable.com/appveL10KaxDGI8rL/tbl0l11cbFlsRVVqX/viwemr5y5XwimGB7c?blocks=bipi6KWPSU4wbiJgs" TargetMode="External"/><Relationship Id="rId6" Type="http://schemas.openxmlformats.org/officeDocument/2006/relationships/hyperlink" Target="https://airtable.com/appWztOg6cgY30Dbn/shr5RcKWqtJq0SSQc" TargetMode="External"/><Relationship Id="rId7" Type="http://schemas.openxmlformats.org/officeDocument/2006/relationships/hyperlink" Target="https://airtable.com/appWztOg6cgY30Dbn/shr5RcKWqtJq0SSQc" TargetMode="External"/><Relationship Id="rId8" Type="http://schemas.openxmlformats.org/officeDocument/2006/relationships/hyperlink" Target="https://wiki.disneystreaming.com/display/PMAO/Onboarding+Guide" TargetMode="External"/><Relationship Id="rId11" Type="http://schemas.openxmlformats.org/officeDocument/2006/relationships/drawing" Target="../drawings/drawing8.xml"/><Relationship Id="rId10" Type="http://schemas.openxmlformats.org/officeDocument/2006/relationships/hyperlink" Target="https://airtable.com/appveL10KaxDGI8rL/tbl0l11cbFlsRVVqX/viwemr5y5XwimGB7c?blocks=bipi6KWPSU4wbiJgs"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wiki.disneystreaming.com/display/PMAO/Adobe+Launch+Technical+Process+Playbook" TargetMode="External"/><Relationship Id="rId22" Type="http://schemas.openxmlformats.org/officeDocument/2006/relationships/hyperlink" Target="https://airtable.com/appJO3dsNwYh3ty2b/tblsD3Tm9klabfaGp/viwpJMo6CeejCoJea/recw3DEdDLIKwR07l" TargetMode="External"/><Relationship Id="rId21" Type="http://schemas.openxmlformats.org/officeDocument/2006/relationships/hyperlink" Target="https://docs.google.com/presentation/d/1Mg--RugparxB0Djq-tUltVhUD4YpjYRNQqlA2hjnMuY/edit" TargetMode="External"/><Relationship Id="rId24" Type="http://schemas.openxmlformats.org/officeDocument/2006/relationships/hyperlink" Target="https://airtable.com/appJO3dsNwYh3ty2b/tblsD3Tm9klabfaGp/viwIa9RFxt2WbxHOs/recq5H4isomSuWJcD" TargetMode="External"/><Relationship Id="rId23" Type="http://schemas.openxmlformats.org/officeDocument/2006/relationships/hyperlink" Target="https://wiki.disneystreaming.com/display/PMAO/Studio+Tagging+Process"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docs.google.com/presentation/d/10JMfF6rs2Hsw2GgUggp41RHNOCKiNBFQO_zBJMp1p6g/edit" TargetMode="External"/><Relationship Id="rId9" Type="http://schemas.openxmlformats.org/officeDocument/2006/relationships/hyperlink" Target="http://adops.us-east-1.dpegrid.net/" TargetMode="External"/><Relationship Id="rId26" Type="http://schemas.openxmlformats.org/officeDocument/2006/relationships/hyperlink" Target="https://docs.google.com/presentation/d/10JMfF6rs2Hsw2GgUggp41RHNOCKiNBFQO_zBJMp1p6g/edit" TargetMode="External"/><Relationship Id="rId25" Type="http://schemas.openxmlformats.org/officeDocument/2006/relationships/hyperlink" Target="https://airtable.com/appJO3dsNwYh3ty2b/tblsD3Tm9klabfaGp/viwPsrfhNXmv0VZOF/recVrmdwGobKEciV9" TargetMode="External"/><Relationship Id="rId28" Type="http://schemas.openxmlformats.org/officeDocument/2006/relationships/drawing" Target="../drawings/drawing9.xml"/><Relationship Id="rId27" Type="http://schemas.openxmlformats.org/officeDocument/2006/relationships/hyperlink" Target="https://airtable.com/appJO3dsNwYh3ty2b/tblsD3Tm9klabfaGp/viwNZiPzNYMasXeHL/recFcrqNEWyC5aTgq" TargetMode="External"/><Relationship Id="rId5" Type="http://schemas.openxmlformats.org/officeDocument/2006/relationships/hyperlink" Target="https://docs.google.com/spreadsheets/d/1MHVW_9WA11ioKsTf-jbjVoVj6oUK6PSO8AiOlW9hFg4/edit" TargetMode="External"/><Relationship Id="rId6" Type="http://schemas.openxmlformats.org/officeDocument/2006/relationships/hyperlink" Target="https://wiki.disneystreaming.com/display/PMAO/IAS+and+Blocking" TargetMode="External"/><Relationship Id="rId7" Type="http://schemas.openxmlformats.org/officeDocument/2006/relationships/hyperlink" Target="https://docs.google.com/presentation/d/1sKVKOcsaFjvdZuzJsoC6gkP0KaSEjDRPtzhRxbh_E-c/edit" TargetMode="External"/><Relationship Id="rId8" Type="http://schemas.openxmlformats.org/officeDocument/2006/relationships/hyperlink" Target="https://airtable.com/appJO3dsNwYh3ty2b/tblsD3Tm9klabfaGp/viwplmP4NKNr0p7kE/rec4bxy7o84uPIC8y" TargetMode="External"/><Relationship Id="rId11" Type="http://schemas.openxmlformats.org/officeDocument/2006/relationships/hyperlink" Target="https://airtable.com/appJO3dsNwYh3ty2b/tblsD3Tm9klabfaGp/viwplmP4NKNr0p7kE/recwVfmhkagjsaQSY" TargetMode="External"/><Relationship Id="rId10" Type="http://schemas.openxmlformats.org/officeDocument/2006/relationships/hyperlink" Target="https://docs.google.com/presentation/d/1Ls5Jfwtq-SuV7hwj5WgtxMz4rdsasdUIEagOMCbRYxg/edit" TargetMode="External"/><Relationship Id="rId13" Type="http://schemas.openxmlformats.org/officeDocument/2006/relationships/hyperlink" Target="https://wiki.disneystreaming.com/display/PMAO/Smartly+DCO" TargetMode="External"/><Relationship Id="rId12" Type="http://schemas.openxmlformats.org/officeDocument/2006/relationships/hyperlink" Target="https://docs.google.com/spreadsheets/d/1224rh6uJdu0P_mXXKCiu7d6s7SYyeAh6zPrYmsxx6CU/edit" TargetMode="External"/><Relationship Id="rId15" Type="http://schemas.openxmlformats.org/officeDocument/2006/relationships/hyperlink" Target="https://docs.google.com/presentation/d/18ZO1lTt7KsGoX3nrOVfG0qdAegob8gCx6QtSVWaMwcU/edit" TargetMode="External"/><Relationship Id="rId14" Type="http://schemas.openxmlformats.org/officeDocument/2006/relationships/hyperlink" Target="https://wiki.disneystreaming.com/display/PMAO/Platform+Conversion+Pixel+Generation" TargetMode="External"/><Relationship Id="rId17" Type="http://schemas.openxmlformats.org/officeDocument/2006/relationships/hyperlink" Target="https://airtable.com/appJO3dsNwYh3ty2b/tblsD3Tm9klabfaGp/viwZ6I7Qe0fWm6e3U/recPBd5HxcCuoPYcW" TargetMode="External"/><Relationship Id="rId16" Type="http://schemas.openxmlformats.org/officeDocument/2006/relationships/hyperlink" Target="https://wiki.disneystreaming.com/display/PMAO/Kochava" TargetMode="External"/><Relationship Id="rId19" Type="http://schemas.openxmlformats.org/officeDocument/2006/relationships/hyperlink" Target="https://wiki.disneystreaming.com/pages/viewpage.action?pageId=109782598" TargetMode="External"/><Relationship Id="rId18" Type="http://schemas.openxmlformats.org/officeDocument/2006/relationships/hyperlink" Target="https://docs.google.com/spreadsheets/u/0/d/1IKJB56UpsutANEhnTIeFHCQXcj7EEGDcu9bZqUf5G8M/edit" TargetMode="External"/></Relationships>
</file>

<file path=xl/worksheets/_rels/sheet10.xml.rels><?xml version="1.0" encoding="UTF-8" standalone="yes"?><Relationships xmlns="http://schemas.openxmlformats.org/package/2006/relationships"><Relationship Id="rId20" Type="http://schemas.openxmlformats.org/officeDocument/2006/relationships/hyperlink" Target="https://docs.google.com/presentation/d/1djaSUp719AICeylIuZ0F5HXcavL1iD2-i53bUVqM_Dc/edit"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wiki.disneystreaming.com/display/PMAO/Adobe+Launch+Technical+Process+Playbook" TargetMode="External"/><Relationship Id="rId24" Type="http://schemas.openxmlformats.org/officeDocument/2006/relationships/hyperlink" Target="https://wiki.disneystreaming.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isney.zoom.us/j/99721187900?pwd=WkFWTU1YeFo3QTJITHRTNXhqa1U5QT09" TargetMode="External"/><Relationship Id="rId3" Type="http://schemas.openxmlformats.org/officeDocument/2006/relationships/hyperlink" Target="https://docs.google.com/presentation/d/11_t03SccN4M9akQZfwiEO0vKT9v0s0iHmqxOZ0UCKb8/edit" TargetMode="External"/><Relationship Id="rId4" Type="http://schemas.openxmlformats.org/officeDocument/2006/relationships/hyperlink" Target="https://docs.google.com/presentation/d/10-iFKNoHBapQTYYdLXPLTk0If_HlPng2S83V6X2EviI/edit?usp=sharing" TargetMode="External"/><Relationship Id="rId9" Type="http://schemas.openxmlformats.org/officeDocument/2006/relationships/hyperlink" Target="https://airtable.com/appJO3dsNwYh3ty2b/tblsD3Tm9klabfaGp/viwplmP4NKNr0p7kE/rec4bxy7o84uPIC8y" TargetMode="External"/><Relationship Id="rId26" Type="http://schemas.openxmlformats.org/officeDocument/2006/relationships/hyperlink" Target="https://airtable.com/appJO3dsNwYh3ty2b/tblsD3Tm9klabfaGp/viwPsrfhNXmv0VZOF/recVrmdwGobKEciV9"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hyperlink" Target="https://airtable.com/appJO3dsNwYh3ty2b/tblsD3Tm9klabfaGp/viwNZiPzNYMasXeHL/recFcrqNEWyC5aTgq" TargetMode="External"/><Relationship Id="rId27" Type="http://schemas.openxmlformats.org/officeDocument/2006/relationships/hyperlink" Target="https://docs.google.com/presentation/d/10JMfF6rs2Hsw2GgUggp41RHNOCKiNBFQO_zBJMp1p6g/edit"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docs.google.com/spreadsheets/d/1MHVW_9WA11ioKsTf-jbjVoVj6oUK6PSO8AiOlW9hFg4/edit" TargetMode="External"/><Relationship Id="rId29" Type="http://schemas.openxmlformats.org/officeDocument/2006/relationships/drawing" Target="../drawings/drawing10.xml"/><Relationship Id="rId7" Type="http://schemas.openxmlformats.org/officeDocument/2006/relationships/hyperlink" Target="https://wiki.disneystreaming.com/display/PMAO/IAS+and+Blocking" TargetMode="External"/><Relationship Id="rId8" Type="http://schemas.openxmlformats.org/officeDocument/2006/relationships/hyperlink" Target="https://docs.google.com/presentation/d/1sKVKOcsaFjvdZuzJsoC6gkP0KaSEjDRPtzhRxbh_E-c/edit" TargetMode="External"/><Relationship Id="rId11" Type="http://schemas.openxmlformats.org/officeDocument/2006/relationships/hyperlink" Target="https://docs.google.com/presentation/d/1Ls5Jfwtq-SuV7hwj5WgtxMz4rdsasdUIEagOMCbRYxg/edit" TargetMode="External"/><Relationship Id="rId10" Type="http://schemas.openxmlformats.org/officeDocument/2006/relationships/hyperlink" Target="http://adops.us-east-1.dpegrid.net/" TargetMode="External"/><Relationship Id="rId13" Type="http://schemas.openxmlformats.org/officeDocument/2006/relationships/hyperlink" Target="https://docs.google.com/spreadsheets/d/1224rh6uJdu0P_mXXKCiu7d6s7SYyeAh6zPrYmsxx6CU/edit" TargetMode="External"/><Relationship Id="rId12" Type="http://schemas.openxmlformats.org/officeDocument/2006/relationships/hyperlink" Target="https://airtable.com/appJO3dsNwYh3ty2b/tblsD3Tm9klabfaGp/viwplmP4NKNr0p7kE/recwVfmhkagjsaQSY" TargetMode="External"/><Relationship Id="rId15" Type="http://schemas.openxmlformats.org/officeDocument/2006/relationships/hyperlink" Target="https://wiki.disneystreaming.com/display/PMAO/Platform+Conversion+Pixel+Generation" TargetMode="External"/><Relationship Id="rId14" Type="http://schemas.openxmlformats.org/officeDocument/2006/relationships/hyperlink" Target="https://wiki.disneystreaming.com/display/PMAO/Smartly+DCO" TargetMode="External"/><Relationship Id="rId17" Type="http://schemas.openxmlformats.org/officeDocument/2006/relationships/hyperlink" Target="https://wiki.disneystreaming.com/display/PMAO/Kochava" TargetMode="External"/><Relationship Id="rId16" Type="http://schemas.openxmlformats.org/officeDocument/2006/relationships/hyperlink" Target="https://docs.google.com/presentation/d/18ZO1lTt7KsGoX3nrOVfG0qdAegob8gCx6QtSVWaMwcU/edit"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airtable.com/appJO3dsNwYh3ty2b/tblsD3Tm9klabfaGp/viwQ4RDHO9qhfYTl1/recoB0Tg8dNDcLnGU" TargetMode="External"/><Relationship Id="rId2" Type="http://schemas.openxmlformats.org/officeDocument/2006/relationships/hyperlink" Target="https://docs.google.com/presentation/d/1pIEsKGaISFjwaUJMhnVXikUzsgjTAf8ea0jg7Qien0c/edit" TargetMode="External"/><Relationship Id="rId3" Type="http://schemas.openxmlformats.org/officeDocument/2006/relationships/hyperlink" Target="https://airtable.com/appveL10KaxDGI8rL/shrr8QV1BqgWconRP" TargetMode="External"/><Relationship Id="rId4" Type="http://schemas.openxmlformats.org/officeDocument/2006/relationships/hyperlink" Target="https://airtable.com/appveL10KaxDGI8rL/tbl0l11cbFlsRVVqX/viwemr5y5XwimGB7c?blocks=bipi6KWPSU4wbiJgs" TargetMode="External"/><Relationship Id="rId9" Type="http://schemas.openxmlformats.org/officeDocument/2006/relationships/hyperlink" Target="https://wiki.disneystreaming.com/display/PMAO/Onboarding+Guide" TargetMode="External"/><Relationship Id="rId5" Type="http://schemas.openxmlformats.org/officeDocument/2006/relationships/hyperlink" Target="https://airtable.com/appveL10KaxDGI8rL/tbl0l11cbFlsRVVqX/viwemr5y5XwimGB7c?blocks=bipi6KWPSU4wbiJgs" TargetMode="External"/><Relationship Id="rId6" Type="http://schemas.openxmlformats.org/officeDocument/2006/relationships/hyperlink" Target="mailto:carlton.clemens@disneystreaming.com" TargetMode="External"/><Relationship Id="rId7" Type="http://schemas.openxmlformats.org/officeDocument/2006/relationships/hyperlink" Target="https://airtable.com/appWztOg6cgY30Dbn/shr5RcKWqtJq0SSQc" TargetMode="External"/><Relationship Id="rId8" Type="http://schemas.openxmlformats.org/officeDocument/2006/relationships/hyperlink" Target="https://airtable.com/appWztOg6cgY30Dbn/shr5RcKWqtJq0SSQc" TargetMode="External"/><Relationship Id="rId11" Type="http://schemas.openxmlformats.org/officeDocument/2006/relationships/hyperlink" Target="https://airtable.com/appveL10KaxDGI8rL/tbl0l11cbFlsRVVqX/viwemr5y5XwimGB7c?blocks=bipi6KWPSU4wbiJgs" TargetMode="External"/><Relationship Id="rId10" Type="http://schemas.openxmlformats.org/officeDocument/2006/relationships/hyperlink" Target="https://wiki.disneystreaming.com/display/PMAO/Onboarding+Guide" TargetMode="External"/><Relationship Id="rId1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tbl0l11cbFlsRVVqX/viwemr5y5XwimGB7c?blocks=bipi6KWPSU4wbiJgs" TargetMode="External"/><Relationship Id="rId11" Type="http://schemas.openxmlformats.org/officeDocument/2006/relationships/hyperlink" Target="https://campaignmanager.google.com/trafficking/" TargetMode="External"/><Relationship Id="rId10" Type="http://schemas.openxmlformats.org/officeDocument/2006/relationships/hyperlink" Target="https://displayvideo.google.com/ng_nav/home_v3" TargetMode="External"/><Relationship Id="rId13" Type="http://schemas.openxmlformats.org/officeDocument/2006/relationships/hyperlink" Target="https://airtable.com/appWztOg6cgY30Dbn/shr5RcKWqtJq0SSQc" TargetMode="External"/><Relationship Id="rId12" Type="http://schemas.openxmlformats.org/officeDocument/2006/relationships/hyperlink" Target="https://airtable.com/appWztOg6cgY30Dbn/shr5RcKWqtJq0SSQc" TargetMode="External"/><Relationship Id="rId15" Type="http://schemas.openxmlformats.org/officeDocument/2006/relationships/hyperlink" Target="https://wiki.disneystreaming.com/display/PMAO/Onboarding+Guide" TargetMode="External"/><Relationship Id="rId14" Type="http://schemas.openxmlformats.org/officeDocument/2006/relationships/hyperlink" Target="https://airtable.com/appWztOg6cgY30Dbn/shr5RcKWqtJq0SSQc" TargetMode="External"/><Relationship Id="rId17" Type="http://schemas.openxmlformats.org/officeDocument/2006/relationships/hyperlink" Target="https://wiki.disneystreaming.com/pages/viewpage.action?spaceKey=MER&amp;title=PayPal+International+Testing" TargetMode="External"/><Relationship Id="rId16" Type="http://schemas.openxmlformats.org/officeDocument/2006/relationships/hyperlink" Target="https://wiki.disneystreaming.com/display/GEP/Payment+Test+Cards+-+For+End-to-End+testing+in+QA+Environment" TargetMode="External"/><Relationship Id="rId19" Type="http://schemas.openxmlformats.org/officeDocument/2006/relationships/drawing" Target="../drawings/drawing12.xml"/><Relationship Id="rId18" Type="http://schemas.openxmlformats.org/officeDocument/2006/relationships/hyperlink" Target="https://airtable.com/appveL10KaxDGI8rL/tbl0l11cbFlsRVVqX/viwemr5y5XwimGB7c?blocks=bipi6KWPSU4wbiJgs" TargetMode="External"/></Relationships>
</file>

<file path=xl/worksheets/_rels/sheet13.xml.rels><?xml version="1.0" encoding="UTF-8" standalone="yes"?><Relationships xmlns="http://schemas.openxmlformats.org/package/2006/relationships"><Relationship Id="rId20" Type="http://schemas.openxmlformats.org/officeDocument/2006/relationships/hyperlink" Target="https://airtable.com/appJO3dsNwYh3ty2b/tblsD3Tm9klabfaGp/viwpJMo6CeejCoJea/recw3DEdDLIKwR07l" TargetMode="External"/><Relationship Id="rId22" Type="http://schemas.openxmlformats.org/officeDocument/2006/relationships/hyperlink" Target="https://airtable.com/appJO3dsNwYh3ty2b/tblsD3Tm9klabfaGp/viwIa9RFxt2WbxHOs/recq5H4isomSuWJcD" TargetMode="External"/><Relationship Id="rId21" Type="http://schemas.openxmlformats.org/officeDocument/2006/relationships/hyperlink" Target="https://confluence.disney.com/pages/viewpage.action?spaceKey=PMAO&amp;title=Studio+Tagging+Process" TargetMode="External"/><Relationship Id="rId24" Type="http://schemas.openxmlformats.org/officeDocument/2006/relationships/hyperlink" Target="https://airtable.com/appJO3dsNwYh3ty2b/tblsD3Tm9klabfaGp/viwNZiPzNYMasXeHL/recFcrqNEWyC5aTgq" TargetMode="External"/><Relationship Id="rId23" Type="http://schemas.openxmlformats.org/officeDocument/2006/relationships/hyperlink" Target="https://docs.google.com/presentation/d/10JMfF6rs2Hsw2GgUggp41RHNOCKiNBFQO_zBJMp1p6g/edit"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ocs.google.com/presentation/d/11_t03SccN4M9akQZfwiEO0vKT9v0s0iHmqxOZ0UCKb8/edit" TargetMode="External"/><Relationship Id="rId3" Type="http://schemas.openxmlformats.org/officeDocument/2006/relationships/hyperlink" Target="https://docs.google.com/presentation/d/10-iFKNoHBapQTYYdLXPLTk0If_HlPng2S83V6X2EviI/edit?usp=sharing" TargetMode="External"/><Relationship Id="rId4" Type="http://schemas.openxmlformats.org/officeDocument/2006/relationships/hyperlink" Target="https://airtable.com/appJO3dsNwYh3ty2b/tbl8Kg3KI0xuQ9ZFb/viwvywBW1SZZWDqWN?blocks=hide" TargetMode="External"/><Relationship Id="rId9" Type="http://schemas.openxmlformats.org/officeDocument/2006/relationships/hyperlink" Target="https://docs.google.com/presentation/d/1iACsAkTIIQlJK7JpO1EOd_iGz7cmF5GqaoBm2CU8l4g/edit" TargetMode="External"/><Relationship Id="rId26" Type="http://schemas.openxmlformats.org/officeDocument/2006/relationships/drawing" Target="../drawings/drawing13.xml"/><Relationship Id="rId25" Type="http://schemas.openxmlformats.org/officeDocument/2006/relationships/hyperlink" Target="https://docs.google.com/presentation/d/17lx-JGKjVVJXLequC7v_lSLfpYukNLwWnp83-Sy1jnA/edit" TargetMode="External"/><Relationship Id="rId5" Type="http://schemas.openxmlformats.org/officeDocument/2006/relationships/hyperlink" Target="https://wiki.disneystreaming.com/display/PMAO/Trafficking+101" TargetMode="External"/><Relationship Id="rId6" Type="http://schemas.openxmlformats.org/officeDocument/2006/relationships/hyperlink" Target="https://confluence-uat.disney.com/display/PMAO/IAS+and+Blocking" TargetMode="External"/><Relationship Id="rId7" Type="http://schemas.openxmlformats.org/officeDocument/2006/relationships/hyperlink" Target="https://docs.google.com/presentation/d/1sKVKOcsaFjvdZuzJsoC6gkP0KaSEjDRPtzhRxbh_E-c/edit" TargetMode="External"/><Relationship Id="rId8" Type="http://schemas.openxmlformats.org/officeDocument/2006/relationships/hyperlink" Target="https://airtable.com/appJO3dsNwYh3ty2b/tblsD3Tm9klabfaGp/viwplmP4NKNr0p7kE/rec4bxy7o84uPIC8y" TargetMode="External"/><Relationship Id="rId11" Type="http://schemas.openxmlformats.org/officeDocument/2006/relationships/hyperlink" Target="https://airtable.com/appJO3dsNwYh3ty2b/tblsD3Tm9klabfaGp/viwplmP4NKNr0p7kE/recwVfmhkagjsaQSY" TargetMode="External"/><Relationship Id="rId10" Type="http://schemas.openxmlformats.org/officeDocument/2006/relationships/hyperlink" Target="https://docs.google.com/presentation/u/0/d/1Ls5Jfwtq-SuV7hwj5WgtxMz4rdsasdUIEagOMCbRYxg/edit" TargetMode="External"/><Relationship Id="rId13" Type="http://schemas.openxmlformats.org/officeDocument/2006/relationships/hyperlink" Target="https://confluence-uat.disney.com/display/PMAO/Platform+Conversion+Pixel+Generation" TargetMode="External"/><Relationship Id="rId12" Type="http://schemas.openxmlformats.org/officeDocument/2006/relationships/hyperlink" Target="https://docs.google.com/spreadsheets/d/1224rh6uJdu0P_mXXKCiu7d6s7SYyeAh6zPrYmsxx6CU/edit" TargetMode="External"/><Relationship Id="rId15" Type="http://schemas.openxmlformats.org/officeDocument/2006/relationships/hyperlink" Target="https://airtable.com/appJO3dsNwYh3ty2b/tblsD3Tm9klabfaGp/viwZ6I7Qe0fWm6e3U/recPBd5HxcCuoPYcW" TargetMode="External"/><Relationship Id="rId14" Type="http://schemas.openxmlformats.org/officeDocument/2006/relationships/hyperlink" Target="https://confluence.disney.com/display/PMAO/Kochava" TargetMode="External"/><Relationship Id="rId17" Type="http://schemas.openxmlformats.org/officeDocument/2006/relationships/hyperlink" Target="https://wiki.disneystreaming.com/pages/viewpage.action?pageId=109782598" TargetMode="External"/><Relationship Id="rId16" Type="http://schemas.openxmlformats.org/officeDocument/2006/relationships/hyperlink" Target="https://docs.google.com/spreadsheets/d/1IKJB56UpsutANEhnTIeFHCQXcj7EEGDcu9bZqUf5G8M/edit" TargetMode="External"/><Relationship Id="rId19" Type="http://schemas.openxmlformats.org/officeDocument/2006/relationships/hyperlink" Target="https://docs.google.com/presentation/d/1Mg--RugparxB0Djq-tUltVhUD4YpjYRNQqlA2hjnMuY/edit" TargetMode="External"/><Relationship Id="rId18" Type="http://schemas.openxmlformats.org/officeDocument/2006/relationships/hyperlink" Target="https://confluence-uat.disney.com/display/PMAO/Adobe+Launch+Technical+Process+Playbook"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tbl0l11cbFlsRVVqX/viwemr5y5XwimGB7c?blocks=bipi6KWPSU4wbiJgs" TargetMode="External"/><Relationship Id="rId11" Type="http://schemas.openxmlformats.org/officeDocument/2006/relationships/hyperlink" Target="https://campaignmanager.google.com/trafficking/" TargetMode="External"/><Relationship Id="rId10" Type="http://schemas.openxmlformats.org/officeDocument/2006/relationships/hyperlink" Target="https://displayvideo.google.com/ng_nav/home_v3" TargetMode="External"/><Relationship Id="rId13" Type="http://schemas.openxmlformats.org/officeDocument/2006/relationships/hyperlink" Target="https://airtable.com/appWztOg6cgY30Dbn/shr5RcKWqtJq0SSQc" TargetMode="External"/><Relationship Id="rId12" Type="http://schemas.openxmlformats.org/officeDocument/2006/relationships/hyperlink" Target="https://airtable.com/appWztOg6cgY30Dbn/shr5RcKWqtJq0SSQc" TargetMode="External"/><Relationship Id="rId15" Type="http://schemas.openxmlformats.org/officeDocument/2006/relationships/hyperlink" Target="https://wiki.disneystreaming.com/display/PMAO/Onboarding+Guide" TargetMode="External"/><Relationship Id="rId14" Type="http://schemas.openxmlformats.org/officeDocument/2006/relationships/hyperlink" Target="https://airtable.com/appWztOg6cgY30Dbn/shr5RcKWqtJq0SSQc" TargetMode="External"/><Relationship Id="rId17" Type="http://schemas.openxmlformats.org/officeDocument/2006/relationships/hyperlink" Target="https://wiki.disneystreaming.com/pages/viewpage.action?spaceKey=MER&amp;title=PayPal+International+Testing" TargetMode="External"/><Relationship Id="rId16" Type="http://schemas.openxmlformats.org/officeDocument/2006/relationships/hyperlink" Target="https://wiki.disneystreaming.com/display/GEP/Payment+Test+Cards+-+For+End-to-End+testing+in+QA+Environment" TargetMode="External"/><Relationship Id="rId19" Type="http://schemas.openxmlformats.org/officeDocument/2006/relationships/drawing" Target="../drawings/drawing14.xml"/><Relationship Id="rId18" Type="http://schemas.openxmlformats.org/officeDocument/2006/relationships/hyperlink" Target="https://airtable.com/appveL10KaxDGI8rL/tbl0l11cbFlsRVVqX/viwemr5y5XwimGB7c?blocks=bipi6KWPSU4wbiJgs" TargetMode="External"/></Relationships>
</file>

<file path=xl/worksheets/_rels/sheet15.xml.rels><?xml version="1.0" encoding="UTF-8" standalone="yes"?><Relationships xmlns="http://schemas.openxmlformats.org/package/2006/relationships"><Relationship Id="rId20" Type="http://schemas.openxmlformats.org/officeDocument/2006/relationships/hyperlink" Target="https://docs.google.com/presentation/d/1djaSUp719AICeylIuZ0F5HXcavL1iD2-i53bUVqM_Dc/edit"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wiki.disneystreaming.com/display/PMAO/Adobe+Launch+Technical+Process+Playbook" TargetMode="External"/><Relationship Id="rId24" Type="http://schemas.openxmlformats.org/officeDocument/2006/relationships/hyperlink" Target="https://wiki.disneystreaming.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isney.zoom.us/j/99721187900?pwd=WkFWTU1YeFo3QTJITHRTNXhqa1U5QT09" TargetMode="External"/><Relationship Id="rId9" Type="http://schemas.openxmlformats.org/officeDocument/2006/relationships/hyperlink" Target="https://wiki.disneystreaming.com/display/PMAO/IAS+and+Blocking" TargetMode="External"/><Relationship Id="rId26" Type="http://schemas.openxmlformats.org/officeDocument/2006/relationships/hyperlink" Target="https://docs.google.com/presentation/d/10JMfF6rs2Hsw2GgUggp41RHNOCKiNBFQO_zBJMp1p6g/edit"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drawing" Target="../drawings/drawing15.xml"/><Relationship Id="rId27" Type="http://schemas.openxmlformats.org/officeDocument/2006/relationships/hyperlink" Target="https://airtable.com/appJO3dsNwYh3ty2b/tblsD3Tm9klabfaGp/viwNZiPzNYMasXeHL/recFcrqNEWyC5aTgq" TargetMode="External"/><Relationship Id="rId5" Type="http://schemas.openxmlformats.org/officeDocument/2006/relationships/hyperlink" Target="https://docs.google.com/presentation/d/11_t03SccN4M9akQZfwiEO0vKT9v0s0iHmqxOZ0UCKb8/edit" TargetMode="External"/><Relationship Id="rId6" Type="http://schemas.openxmlformats.org/officeDocument/2006/relationships/hyperlink" Target="https://docs.google.com/presentation/d/10-iFKNoHBapQTYYdLXPLTk0If_HlPng2S83V6X2EviI/edit?usp=sharing" TargetMode="External"/><Relationship Id="rId29" Type="http://schemas.openxmlformats.org/officeDocument/2006/relationships/vmlDrawing" Target="../drawings/vmlDrawing3.vml"/><Relationship Id="rId7" Type="http://schemas.openxmlformats.org/officeDocument/2006/relationships/hyperlink" Target="https://docs.google.com/spreadsheets/d/1MHVW_9WA11ioKsTf-jbjVoVj6oUK6PSO8AiOlW9hFg4/edit" TargetMode="External"/><Relationship Id="rId8" Type="http://schemas.openxmlformats.org/officeDocument/2006/relationships/hyperlink" Target="https://wiki.disneystreaming.com/display/PMAO/Trafficking+101" TargetMode="External"/><Relationship Id="rId11" Type="http://schemas.openxmlformats.org/officeDocument/2006/relationships/hyperlink" Target="https://airtable.com/appJO3dsNwYh3ty2b/tblsD3Tm9klabfaGp/viwplmP4NKNr0p7kE/rec4bxy7o84uPIC8y" TargetMode="External"/><Relationship Id="rId10" Type="http://schemas.openxmlformats.org/officeDocument/2006/relationships/hyperlink" Target="https://docs.google.com/presentation/d/1sKVKOcsaFjvdZuzJsoC6gkP0KaSEjDRPtzhRxbh_E-c/edit" TargetMode="External"/><Relationship Id="rId13" Type="http://schemas.openxmlformats.org/officeDocument/2006/relationships/hyperlink" Target="https://wiki.disneystreaming.com/display/PMAO/Trafficking+101" TargetMode="External"/><Relationship Id="rId12" Type="http://schemas.openxmlformats.org/officeDocument/2006/relationships/hyperlink" Target="http://adops.us-east-1.dpegrid.net/" TargetMode="External"/><Relationship Id="rId15" Type="http://schemas.openxmlformats.org/officeDocument/2006/relationships/hyperlink" Target="https://docs.google.com/spreadsheets/d/1224rh6uJdu0P_mXXKCiu7d6s7SYyeAh6zPrYmsxx6CU/edit" TargetMode="External"/><Relationship Id="rId14" Type="http://schemas.openxmlformats.org/officeDocument/2006/relationships/hyperlink" Target="https://airtable.com/appJO3dsNwYh3ty2b/tblsD3Tm9klabfaGp/viwplmP4NKNr0p7kE/recwVfmhkagjsaQSY" TargetMode="External"/><Relationship Id="rId17" Type="http://schemas.openxmlformats.org/officeDocument/2006/relationships/hyperlink" Target="https://wiki.disneystreaming.com/display/PMAO/Kochava" TargetMode="External"/><Relationship Id="rId16" Type="http://schemas.openxmlformats.org/officeDocument/2006/relationships/hyperlink" Target="https://wiki.disneystreaming.com/display/PMAO/Platform+Conversion+Pixel+Generation"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tbl0l11cbFlsRVVqX/viwemr5y5XwimGB7c?blocks=bipi6KWPSU4wbiJgs" TargetMode="External"/><Relationship Id="rId11"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10"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 Id="rId13" Type="http://schemas.openxmlformats.org/officeDocument/2006/relationships/hyperlink" Target="https://wiki.disneystreaming.com/display/PMAO/Onboarding+Guide" TargetMode="External"/><Relationship Id="rId12"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15" Type="http://schemas.openxmlformats.org/officeDocument/2006/relationships/hyperlink" Target="https://wiki.disneystreaming.com/pages/viewpage.action?spaceKey=MER&amp;title=PayPal+International+Testing" TargetMode="External"/><Relationship Id="rId14" Type="http://schemas.openxmlformats.org/officeDocument/2006/relationships/hyperlink" Target="https://wiki.disneystreaming.com/display/GEP/Payment+Test+Cards+-+For+End-to-End+testing+in+QA+Environment" TargetMode="External"/><Relationship Id="rId17" Type="http://schemas.openxmlformats.org/officeDocument/2006/relationships/drawing" Target="../drawings/drawing16.xml"/><Relationship Id="rId16" Type="http://schemas.openxmlformats.org/officeDocument/2006/relationships/hyperlink" Target="https://airtable.com/appveL10KaxDGI8rL/tbl0l11cbFlsRVVqX/viwemr5y5XwimGB7c?blocks=bipi6KWPSU4wbiJgs" TargetMode="External"/></Relationships>
</file>

<file path=xl/worksheets/_rels/sheet17.xml.rels><?xml version="1.0" encoding="UTF-8" standalone="yes"?><Relationships xmlns="http://schemas.openxmlformats.org/package/2006/relationships"><Relationship Id="rId20" Type="http://schemas.openxmlformats.org/officeDocument/2006/relationships/hyperlink" Target="https://wiki.disneystreaming.com/display/GEP/Payment+Test+Cards+-+For+End-to-End+testing+in+QA+Environment" TargetMode="External"/><Relationship Id="rId22" Type="http://schemas.openxmlformats.org/officeDocument/2006/relationships/hyperlink" Target="https://airtable.com/appveL10KaxDGI8rL/tbl0l11cbFlsRVVqX/viwemr5y5XwimGB7c?blocks=bipi6KWPSU4wbiJgs" TargetMode="External"/><Relationship Id="rId21" Type="http://schemas.openxmlformats.org/officeDocument/2006/relationships/hyperlink" Target="https://wiki.disneystreaming.com/pages/viewpage.action?spaceKey=MER&amp;title=PayPal+International+Testing" TargetMode="External"/><Relationship Id="rId23" Type="http://schemas.openxmlformats.org/officeDocument/2006/relationships/drawing" Target="../drawings/drawing17.xml"/><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shrr8QV1BqgWconRP" TargetMode="External"/><Relationship Id="rId5" Type="http://schemas.openxmlformats.org/officeDocument/2006/relationships/hyperlink" Target="https://skillshop.docebosaas.com/learn/courses/12987/campaign-manager-360-certification-exam" TargetMode="External"/><Relationship Id="rId6" Type="http://schemas.openxmlformats.org/officeDocument/2006/relationships/hyperlink" Target="https://airtable.com/appJO3dsNwYh3ty2b/tblsD3Tm9klabfaGp/viwQ4RDHO9qhfYTl1/recoB0Tg8dNDcLnGU" TargetMode="External"/><Relationship Id="rId7" Type="http://schemas.openxmlformats.org/officeDocument/2006/relationships/hyperlink" Target="https://docs.google.com/presentation/d/1pIEsKGaISFjwaUJMhnVXikUzsgjTAf8ea0jg7Qien0c/edit" TargetMode="External"/><Relationship Id="rId8" Type="http://schemas.openxmlformats.org/officeDocument/2006/relationships/hyperlink" Target="https://airtable.com/appveL10KaxDGI8rL/shrr8QV1BqgWconRP" TargetMode="External"/><Relationship Id="rId11" Type="http://schemas.openxmlformats.org/officeDocument/2006/relationships/hyperlink" Target="https://airtable.com/appveL10KaxDGI8rL/tbl0l11cbFlsRVVqX/viwemr5y5XwimGB7c?blocks=bipi6KWPSU4wbiJgs" TargetMode="External"/><Relationship Id="rId10" Type="http://schemas.openxmlformats.org/officeDocument/2006/relationships/hyperlink" Target="https://airtable.com/appveL10KaxDGI8rL/tbl0l11cbFlsRVVqX/viwemr5y5XwimGB7c?blocks=bipi6KWPSU4wbiJgs" TargetMode="External"/><Relationship Id="rId13" Type="http://schemas.openxmlformats.org/officeDocument/2006/relationships/hyperlink" Target="https://confluence.disney.com/display/PMAO/Paid+Media+Ad+Ops+Home" TargetMode="External"/><Relationship Id="rId12" Type="http://schemas.openxmlformats.org/officeDocument/2006/relationships/hyperlink" Target="https://jira.disney.com/browse/IDY-72030" TargetMode="External"/><Relationship Id="rId15"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 Id="rId14" Type="http://schemas.openxmlformats.org/officeDocument/2006/relationships/hyperlink" Target="https://console.cloud.google.com/apis/credentials/consent?project=gcp-adops" TargetMode="External"/><Relationship Id="rId17"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16"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19" Type="http://schemas.openxmlformats.org/officeDocument/2006/relationships/hyperlink" Target="https://wiki.disneystreaming.com/display/PMAO/Onboarding+Guide" TargetMode="External"/><Relationship Id="rId18" Type="http://schemas.openxmlformats.org/officeDocument/2006/relationships/hyperlink" Target="https://teams.microsoft.com/l/channel/19%3Aeaab3252fd1d4e3eb9bc6965aad5bceb%40thread.tacv2/X-Team%20-%20Ad%20Ops%20x%20Affiliate%20Team?groupId=6148b0df-6584-4d0c-b803-24661bed878f&amp;tenantId=56b731a8-a2ac-4c32-bf6b-616810e913c6"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22" Type="http://schemas.openxmlformats.org/officeDocument/2006/relationships/hyperlink" Target="https://make.powerautomate.com/environments/Default-56b731a8-a2ac-4c32-bf6b-616810e913c6/flows/shared/b0eb6656-36b9-4cf3-81e2-4a5dc39c4f5b/details" TargetMode="External"/><Relationship Id="rId21" Type="http://schemas.openxmlformats.org/officeDocument/2006/relationships/hyperlink" Target="https://wiki.disneystreaming.com/display/PMAO/Onboarding+Guide" TargetMode="External"/><Relationship Id="rId24" Type="http://schemas.openxmlformats.org/officeDocument/2006/relationships/hyperlink" Target="https://wiki.disneystreaming.com/pages/viewpage.action?spaceKey=MER&amp;title=PayPal+International+Testing" TargetMode="External"/><Relationship Id="rId23" Type="http://schemas.openxmlformats.org/officeDocument/2006/relationships/hyperlink" Target="https://wiki.disneystreaming.com/display/GEP/Payment+Test+Cards+-+For+End-to-End+testing+in+QA+Environment" TargetMode="External"/><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26" Type="http://schemas.openxmlformats.org/officeDocument/2006/relationships/drawing" Target="../drawings/drawing18.xml"/><Relationship Id="rId25"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shrr8QV1BqgWconRP" TargetMode="External"/><Relationship Id="rId11" Type="http://schemas.openxmlformats.org/officeDocument/2006/relationships/hyperlink" Target="mailto:carlton.clemens@disneystreaming.com" TargetMode="External"/><Relationship Id="rId10" Type="http://schemas.openxmlformats.org/officeDocument/2006/relationships/hyperlink" Target="https://airtable.com/appveL10KaxDGI8rL/tbl0l11cbFlsRVVqX/viwemr5y5XwimGB7c?blocks=bipi6KWPSU4wbiJgs" TargetMode="External"/><Relationship Id="rId13" Type="http://schemas.openxmlformats.org/officeDocument/2006/relationships/hyperlink" Target="mailto:carlton.clemens@disneystreaming.com" TargetMode="External"/><Relationship Id="rId12" Type="http://schemas.openxmlformats.org/officeDocument/2006/relationships/hyperlink" Target="mailto:carlton.clemens@disneystreaming.com" TargetMode="External"/><Relationship Id="rId15" Type="http://schemas.openxmlformats.org/officeDocument/2006/relationships/hyperlink" Target="mailto:carlton.clemens@disneystreaming.com" TargetMode="External"/><Relationship Id="rId14" Type="http://schemas.openxmlformats.org/officeDocument/2006/relationships/hyperlink" Target="https://confluence.disney.com/display/PMAO/Paid+Media+Ad+Ops+Home" TargetMode="External"/><Relationship Id="rId17" Type="http://schemas.openxmlformats.org/officeDocument/2006/relationships/hyperlink" Target="https://console.cloud.google.com/apis/credentials/consent?project=gcp-adops" TargetMode="External"/><Relationship Id="rId16" Type="http://schemas.openxmlformats.org/officeDocument/2006/relationships/hyperlink" Target="mailto:carlton.clemens@disneystreaming.com" TargetMode="External"/><Relationship Id="rId19"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18"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s>
</file>

<file path=xl/worksheets/_rels/sheet19.xml.rels><?xml version="1.0" encoding="UTF-8" standalone="yes"?><Relationships xmlns="http://schemas.openxmlformats.org/package/2006/relationships"><Relationship Id="rId20" Type="http://schemas.openxmlformats.org/officeDocument/2006/relationships/drawing" Target="../drawings/drawing19.xml"/><Relationship Id="rId1" Type="http://schemas.openxmlformats.org/officeDocument/2006/relationships/hyperlink" Target="https://hdforms.disney.com/hdforms2.0/newuserrequest2.aspx" TargetMode="External"/><Relationship Id="rId2" Type="http://schemas.openxmlformats.org/officeDocument/2006/relationships/hyperlink" Target="https://disney.service-now.com/dtoolsitsp?id=sc_cat_item&amp;sys_id=2a5cbe6bdb8b53c4e6f0f7951d961956" TargetMode="External"/><Relationship Id="rId3" Type="http://schemas.openxmlformats.org/officeDocument/2006/relationships/hyperlink" Target="https://twdc.sharepoint.com/sites/CORP-Badge-Request/SitePages/Home.aspx" TargetMode="External"/><Relationship Id="rId4" Type="http://schemas.openxmlformats.org/officeDocument/2006/relationships/hyperlink" Target="https://disney.service-now.com/dtoolsitsp?id=sc_cat_item&amp;sys_id=c5b247d71b4f638023ae87776e4bcbca" TargetMode="External"/><Relationship Id="rId9" Type="http://schemas.openxmlformats.org/officeDocument/2006/relationships/hyperlink" Target="https://airtable.com/appveL10KaxDGI8rL/tbl0l11cbFlsRVVqX/viwemr5y5XwimGB7c?blocks=bipi6KWPSU4wbiJgs" TargetMode="External"/><Relationship Id="rId5" Type="http://schemas.openxmlformats.org/officeDocument/2006/relationships/hyperlink" Target="https://airtable.com/appJO3dsNwYh3ty2b/tblsD3Tm9klabfaGp/viwQ4RDHO9qhfYTl1/recoB0Tg8dNDcLnGU" TargetMode="External"/><Relationship Id="rId6" Type="http://schemas.openxmlformats.org/officeDocument/2006/relationships/hyperlink" Target="https://docs.google.com/presentation/d/1pIEsKGaISFjwaUJMhnVXikUzsgjTAf8ea0jg7Qien0c/edit" TargetMode="External"/><Relationship Id="rId7" Type="http://schemas.openxmlformats.org/officeDocument/2006/relationships/hyperlink" Target="https://airtable.com/appveL10KaxDGI8rL/shrr8QV1BqgWconRP" TargetMode="External"/><Relationship Id="rId8" Type="http://schemas.openxmlformats.org/officeDocument/2006/relationships/hyperlink" Target="https://airtable.com/appveL10KaxDGI8rL/shrr8QV1BqgWconRP" TargetMode="External"/><Relationship Id="rId11" Type="http://schemas.openxmlformats.org/officeDocument/2006/relationships/hyperlink" Target="mailto:shah.bari@disneystreaming.com" TargetMode="External"/><Relationship Id="rId10" Type="http://schemas.openxmlformats.org/officeDocument/2006/relationships/hyperlink" Target="https://airtable.com/appveL10KaxDGI8rL/tbl0l11cbFlsRVVqX/viwemr5y5XwimGB7c?blocks=bipi6KWPSU4wbiJgs" TargetMode="External"/><Relationship Id="rId13" Type="http://schemas.openxmlformats.org/officeDocument/2006/relationships/hyperlink" Target="https://airtable.com/appWztOg6cgY30Dbn/shr5RcKWqtJq0SSQc?prefill_Channel=Display&amp;prefill_Display%20Intake%20Form%20Request=DSS%20Programmatic%20Platforms%3A%20Global%20Login%20Requests&amp;prefill_Job%20Title=Trafficker&amp;prefill_Platform%28s%29%20Requested%5B%5D=Display%20%26%20Video%20360%20%28Google%29&amp;prefill_Platform%28s%29%20Requested%5B%5D=Yahoo%21%20DSP&amp;prefill_Platform%28s%29%20Requested%5B%5D=Amazon%20DSP&amp;prefill_Access%20Role%20Type%20%28DV360%29=Standard&amp;prefill_Access%20Role%20Type%20%28Yahoo%29=Ad%20Operations&amp;prefill_ACQ%20%2F%20AWR%5B%5D=Acquisition&amp;prefill_ACQ%20%2F%20AWR%5B%5D=Awareness" TargetMode="External"/><Relationship Id="rId12" Type="http://schemas.openxmlformats.org/officeDocument/2006/relationships/hyperlink" Target="https://console.cloud.google.com/apis/credentials/consent?project=gcp-adops" TargetMode="External"/><Relationship Id="rId15" Type="http://schemas.openxmlformats.org/officeDocument/2006/relationships/hyperlink" Target="https://airtable.com/appWztOg6cgY30Dbn/shr5RcKWqtJq0SSQc?prefill_Channel=Search&amp;prefill_Search%20Intake%20Form%20Request=Google%20Ads%2CMicrosoft%20Ads&amp;prefill_Regions=APAC%2CEMEA%2CLATAM%2CNorth%20America&amp;prefill_Team=Ad%20Ops&amp;prefill_Reason%20for%20Access=Ad%20Ops%27%20view%20access&amp;prefill_MMI%20Clearance%2FAcknowledgement=true" TargetMode="External"/><Relationship Id="rId14" Type="http://schemas.openxmlformats.org/officeDocument/2006/relationships/hyperlink" Target="https://airtable.com/appWztOg6cgY30Dbn/shr5RcKWqtJq0SSQc?prefill_Social%20Intake%20Form%20Request=Facebook%2FInstagram%2C%20SnapChat%2C%20TikTok&amp;prefill_Product=Disney%2B&amp;prefill_Access%20Role%20Type%20%28FB%2FIG%29=View%20performance%20%28Access%20reports%20%26%20view%20Ads%29&amp;prefill_Access%20Role%20Type%20%28SnapChat%29=Data%20Analyst%20%28Access%20reports%20%26%20View%20Ads%29&amp;prefill_Access%20Role%20Type%20%28TikTok%29=Ad%20account%20Analyst%3A%20view%20campaigns%20and%20performance%20related%20data&amp;prefill_Request%20Details=See%20request%20inputs%20%28on%20behalf%20of%20this%20user%2C%20who%27s%20Ad%20Ops%27%20newest%20%28domestic%29%20team%20member%29&amp;prefill_Channel=Social&amp;prefill_Regions=APAC%2CEMEA%2CLATAM%2CNorth%20America&amp;prefill_Ad%20Accounts%20%28FB%2FIG%29=FBIG%3A%20Disney%2B%20APAC%20Acquisition%20%281345271975625492%29%2CFBIG%3A%20Disney%2B%20AR%20Acquisition%20%28303514044085384%29%2CFBIG%3A%20Disney%2B%20BeNeLux%20Acquisition%20%28338003687104282%29%2CFBIG%3A%20Disney%2B%20BR%20Acquisition%20%28319683569086054%29%2CFBIG%3A%20Disney%2B%20CA%20Acquisition%20%282314609058622302%29%2CFBIG%3A%20Disney%2B%20CEE%20Acquisition%20%281878944432290036%29%2CFBIG%3A%20Disney%2B%20COL%2FCHI%2FPER%20Acquisition%20%282305447539783334%29%2CFBIG%3A%20Disney%2B%20France%20Acquisition%20%281236211173254528%29%2CFBIG%3A%20Disney%2B%20Greece%20Acquisition%20%28772207710850150%29%2CFBIG%3A%20Disney%2B%20GSA%20Acquisition%20%28527290547874118%29%2CFBIG%3A%20Disney%2B%20Hong%20Kong%20Acquisition%20%28373774251046378%29%2CFBIG%3A%20Disney%2B%20Iberia%20Acquisition%20%28572749076636464%29%2CFBIG%3A%20Disney%2B%20Italy%20Acquisition%20%282482667965315322%29%2CFBIG%3A%20Disney%2B%20Japan%20Acquisition%20%28680589969565946%29%2CFBIG%3A%20Disney%2B%20Korea%20Acquisition%20%28971935273658242%29%2CFBIG%3A%20Disney%2B%20LATAM%20Tier%202%20Acquisition%20%281106188533175651%29%2CFBIG%3A%20Disney%2B%20MX%20Acquisition%20%283326614784118131%29%2CFBIG%3A%20Disney%2B%20Nordics%20%28SE%3A%20NO%3A%20DK%3A%20FI%29%20Acquisition%20%28457799738206109%29%2CFBIG%3A%20Disney%2B%20SG%20Acquisition%20%28391718678805653%29%2CFBIG%3A%20Disney%2B%20Taiwan%20Acquisition%20%281832335560272658%29%2CFBIG%3A%20Disney%2B%20Turkey%20Acquisition%20%281154279232042906%29%2CFBIG%3A%20Disney%2B%20UK%3AIE%20Acquisition%20%281036658720022327%29%2CFBIG%3A%20Disney%2B%20US%20Acquisition%20%282337225723003414%29&amp;prefill_Ad%20Accounts%20%28SnapChat%29=SnapChat%3A%20Disney%2B%20APAC%20Acquisition%20%28e71c8302-8be6-4656-a0e6-1566e3f98201%29%2CSnapChat%3A%20Disney%2B%20AR%20Acquisition%20%2881584828-d842-47c5-8b57-328a8a71b8ec%29%2CSnapChat%3A%20Disney%2B%20BeNeLux%20Acquisition%20%2881594895-ed24-437c-982f-8778a8da3003%29%2CSnapChat%3A%20Disney%2B%20BR%20Acquisition%20%28a9acf7ec-4230-4926-8f60-326a305aa77a%29%2CSnapChat%3A%20Disney%2B%20CA%20Acquisition%20%28c0e2d228-a66f-4796-a445-20db60963986%29%2CSnapChat%3A%20Disney%2B%20CEE%20Acquisition%20%28486bc9c3-4ea7-499e-b353-463bd9b50d29%29%2CSnapChat%3A%20Disney%2B%20France%20Acquisition%20%28f14d54e3-6f13-4c4e-99e8-de984e96e4c7%29%2CSnapChat%3A%20Disney%2B%20Greece%20Acquisition%20%28aee0135d-e9f7-4f21-a8aa-c175c365f6b5%29%2CSnapChat%3A%20Disney%2B%20GSA%20Acquisition%20%2835374fe2-0ce5-4b56-bd8b-88d4980c2879%29%2CSnapChat%3A%20Disney%2B%20Iberia%20Acquisition%20%28d204c7b7-8d62-423d-891f-033a9c9d4830%29%2CSnapChat%3A%20Disney%2B%20Italy%20Acquisition%20%2875475f95-a988-4cec-9e04-4377c5627038%29%2CSnapChat%3A%20Disney%2B%20MX%20Acquisition%20%28c2544392-16de-4d4e-89c3-ec7f37dded3e%29%2CSnapChat%3A%20Disney%2B%20Nordics%20Acquisition%20%281bf69a35-079a-47e0-b1c9-5e9a49494451%29%2CSnapChat%3A%20Disney%2B%20SGA%20Acquisition%20%286e9463d4-f6a3-47ed-87fe-df244788d701%29%2CSnapChat%3A%20Disney%2B%20Turkey%20Acquisition%20%2822108c84-1f25-455c-bdc9-4930108d9702%29%2CSnapChat%3A%20Disney%2B%20UK%3AIE%20Acquisition%20%28447828a5-cbf5-4832-b351-9f8c4aa1fa1a%29%2CSnapChat%3A%20Disney%2B%20US%20Acquisition%20%285976ff29-d7d1-4505-bf98-3585ab87c1cd%29%2CSnapChat%3A%20Disney%2B%20US%20Acquisition%20-%20iOS%20%281d1d69ea-7274-4135-8b0e-26495fcbd229%29&amp;prefill_Ad%20Accounts%20%28TikTok%29=TikTok%3A%20Disney%2B%20AUNZ%20Acquisition%20%287080929767226081281%29%2CTikTok%3A%20Disney%2B%20BeNeLux%20Acquisition%20%287097210166583623682%29%2CTikTok%3A%20Disney%2B%20CA%20Acquisition%20%287147718295276388354%29%2CTikTok%3A%20Disney%2B%20CCE%20Acquisition%20%287137786957626671105%29%2CTikTok%3A%20Disney%2B%20France%20Acquisition%20%287097207286271164418%29%2CTikTok%3A%20Disney%2B%20GSA%20Acquisition%20%287097209612776128514%29%2CTikTok%3A%20Disney%2B%20Iberia%20Acquisition%20%287097208964047192065%29%2CTikTok%3A%20Disney%2B%20Italy%20Acquisition%20%287097208023424237569%29%2CTikTok%3A%20Disney%2B%20Japan%20Acquisition%20%287116992990769463297%29%2CTikTok%3A%20Disney%2B%20Nordics%20Acquisition%20%287097210843711963137%29%2CTikTok%3A%20Disney%2B%20Singapore%20Acquisition%20%287150668891470053377%29%2CTikTok%3A%20Disney%2B%20South%20Korea%20Acquisition%20%287121756925741596674%29%2CTikTok%3A%20Disney%2B%20Taiwan%20Acquisition%20%287150670518767681538%29%2CTikTok%3A%20Disney%2B%20Turkey%20Acquisition%20%287137788667363360769%29%2CTikTok%3A%20Disney%2B%20UK%3AIE%20Acquisition%20%287080928618989355009%29%2CTikTok%3A%20Disney%2B%20US%20Acquisition%20%287073500301491257345%29%2CTikTok%3A%20Disney%2B%20South%20Africa%20Acquisition%20%287101301680473505793%29%2CTikTok%3A%20Disney%2B%20MENA%20Acquisition%20%287101387263682068481%29%2CTikTok%3A%20Disney%2B%20Israel%20Acquisition%20%287101389084995715073%29%2CTikTok%3A%20Disney%2B%20BR%20Acquisition%20%287291680486634831874%29%2CTikTok%3A%20Disney%2B%20ROLA%20Acquisition%20%287283957981224402945%29" TargetMode="External"/><Relationship Id="rId17" Type="http://schemas.openxmlformats.org/officeDocument/2006/relationships/hyperlink" Target="https://wiki.disneystreaming.com/display/GEP/Payment+Test+Cards+-+For+End-to-End+testing+in+QA+Environment" TargetMode="External"/><Relationship Id="rId16" Type="http://schemas.openxmlformats.org/officeDocument/2006/relationships/hyperlink" Target="https://wiki.disneystreaming.com/display/PMAO/Onboarding+Guide" TargetMode="External"/><Relationship Id="rId19" Type="http://schemas.openxmlformats.org/officeDocument/2006/relationships/hyperlink" Target="https://airtable.com/appveL10KaxDGI8rL/tbl0l11cbFlsRVVqX/viwemr5y5XwimGB7c?blocks=bipi6KWPSU4wbiJgs" TargetMode="External"/><Relationship Id="rId18" Type="http://schemas.openxmlformats.org/officeDocument/2006/relationships/hyperlink" Target="https://wiki.disneystreaming.com/pages/viewpage.action?spaceKey=MER&amp;title=PayPal+International+Testing" TargetMode="External"/></Relationships>
</file>

<file path=xl/worksheets/_rels/sheet20.xml.rels><?xml version="1.0" encoding="UTF-8" standalone="yes"?><Relationships xmlns="http://schemas.openxmlformats.org/package/2006/relationships"><Relationship Id="rId20" Type="http://schemas.openxmlformats.org/officeDocument/2006/relationships/hyperlink" Target="https://airtable.com/appJO3dsNwYh3ty2b/tblsD3Tm9klabfaGp/viwpJMo6CeejCoJea/recw3DEdDLIKwR07l" TargetMode="External"/><Relationship Id="rId22" Type="http://schemas.openxmlformats.org/officeDocument/2006/relationships/hyperlink" Target="https://airtable.com/appJO3dsNwYh3ty2b/tblsD3Tm9klabfaGp/viwIa9RFxt2WbxHOs/recq5H4isomSuWJcD" TargetMode="External"/><Relationship Id="rId21" Type="http://schemas.openxmlformats.org/officeDocument/2006/relationships/hyperlink" Target="https://confluence-uat.disney.com/display/PMAO/Studio+Tagging+Process" TargetMode="External"/><Relationship Id="rId24" Type="http://schemas.openxmlformats.org/officeDocument/2006/relationships/hyperlink" Target="https://airtable.com/appJO3dsNwYh3ty2b/tblsD3Tm9klabfaGp/viwNZiPzNYMasXeHL/recFcrqNEWyC5aTgq" TargetMode="External"/><Relationship Id="rId23" Type="http://schemas.openxmlformats.org/officeDocument/2006/relationships/hyperlink" Target="https://docs.google.com/presentation/d/10JMfF6rs2Hsw2GgUggp41RHNOCKiNBFQO_zBJMp1p6g/edit"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isney.zoom.us/j/99721187900?pwd=WkFWTU1YeFo3QTJITHRTNXhqa1U5QT09" TargetMode="External"/><Relationship Id="rId3" Type="http://schemas.openxmlformats.org/officeDocument/2006/relationships/hyperlink" Target="https://docs.google.com/presentation/d/11_t03SccN4M9akQZfwiEO0vKT9v0s0iHmqxOZ0UCKb8/edit" TargetMode="External"/><Relationship Id="rId4" Type="http://schemas.openxmlformats.org/officeDocument/2006/relationships/hyperlink" Target="https://docs.google.com/presentation/d/10-iFKNoHBapQTYYdLXPLTk0If_HlPng2S83V6X2EviI/edit?usp=sharing" TargetMode="External"/><Relationship Id="rId9" Type="http://schemas.openxmlformats.org/officeDocument/2006/relationships/hyperlink" Target="https://airtable.com/appJO3dsNwYh3ty2b/tblsD3Tm9klabfaGp/viwplmP4NKNr0p7kE/rec4bxy7o84uPIC8y" TargetMode="External"/><Relationship Id="rId26" Type="http://schemas.openxmlformats.org/officeDocument/2006/relationships/drawing" Target="../drawings/drawing20.xml"/><Relationship Id="rId25" Type="http://schemas.openxmlformats.org/officeDocument/2006/relationships/hyperlink" Target="https://docs.google.com/presentation/d/17lx-JGKjVVJXLequC7v_lSLfpYukNLwWnp83-Sy1jnA/edit" TargetMode="External"/><Relationship Id="rId5" Type="http://schemas.openxmlformats.org/officeDocument/2006/relationships/hyperlink" Target="https://airtable.com/appJO3dsNwYh3ty2b/tbl8Kg3KI0xuQ9ZFb/viwvywBW1SZZWDqWN?blocks=hide" TargetMode="External"/><Relationship Id="rId6" Type="http://schemas.openxmlformats.org/officeDocument/2006/relationships/hyperlink" Target="https://wiki.disneystreaming.com/display/PMAO/Trafficking+101" TargetMode="External"/><Relationship Id="rId7" Type="http://schemas.openxmlformats.org/officeDocument/2006/relationships/hyperlink" Target="https://confluence-uat.disney.com/display/PMAO/IAS+and+Blocking" TargetMode="External"/><Relationship Id="rId8" Type="http://schemas.openxmlformats.org/officeDocument/2006/relationships/hyperlink" Target="https://docs.google.com/presentation/d/1sKVKOcsaFjvdZuzJsoC6gkP0KaSEjDRPtzhRxbh_E-c/edit" TargetMode="External"/><Relationship Id="rId11" Type="http://schemas.openxmlformats.org/officeDocument/2006/relationships/hyperlink" Target="https://airtable.com/appJO3dsNwYh3ty2b/tblsD3Tm9klabfaGp/viwplmP4NKNr0p7kE/recwVfmhkagjsaQSY" TargetMode="External"/><Relationship Id="rId10" Type="http://schemas.openxmlformats.org/officeDocument/2006/relationships/hyperlink" Target="https://confluence-uat.disney.com/display/PMAO/Trafficking+101" TargetMode="External"/><Relationship Id="rId13" Type="http://schemas.openxmlformats.org/officeDocument/2006/relationships/hyperlink" Target="https://confluence-uat.disney.com/display/PMAO/Platform+Conversion+Pixel+Generation" TargetMode="External"/><Relationship Id="rId12" Type="http://schemas.openxmlformats.org/officeDocument/2006/relationships/hyperlink" Target="https://docs.google.com/spreadsheets/d/1224rh6uJdu0P_mXXKCiu7d6s7SYyeAh6zPrYmsxx6CU/edit" TargetMode="External"/><Relationship Id="rId15" Type="http://schemas.openxmlformats.org/officeDocument/2006/relationships/hyperlink" Target="https://airtable.com/appJO3dsNwYh3ty2b/tblsD3Tm9klabfaGp/viwZ6I7Qe0fWm6e3U/recPBd5HxcCuoPYcW" TargetMode="External"/><Relationship Id="rId14" Type="http://schemas.openxmlformats.org/officeDocument/2006/relationships/hyperlink" Target="https://confluence-uat.disney.com/display/PMAO/Kochava" TargetMode="External"/><Relationship Id="rId17" Type="http://schemas.openxmlformats.org/officeDocument/2006/relationships/hyperlink" Target="https://docs.google.com/presentation/d/1djaSUp719AICeylIuZ0F5HXcavL1iD2-i53bUVqM_Dc/edit" TargetMode="External"/><Relationship Id="rId16" Type="http://schemas.openxmlformats.org/officeDocument/2006/relationships/hyperlink" Target="https://docs.google.com/spreadsheets/d/1IKJB56UpsutANEhnTIeFHCQXcj7EEGDcu9bZqUf5G8M/edit" TargetMode="External"/><Relationship Id="rId19" Type="http://schemas.openxmlformats.org/officeDocument/2006/relationships/hyperlink" Target="https://docs.google.com/presentation/d/1Mg--RugparxB0Djq-tUltVhUD4YpjYRNQqlA2hjnMuY/edit" TargetMode="External"/><Relationship Id="rId18" Type="http://schemas.openxmlformats.org/officeDocument/2006/relationships/hyperlink" Target="https://confluence-uat.disney.com/display/PMAO/Adobe+Launch+Technical+Process+Playbook" TargetMode="External"/></Relationships>
</file>

<file path=xl/worksheets/_rels/sheet21.xml.rels><?xml version="1.0" encoding="UTF-8" standalone="yes"?><Relationships xmlns="http://schemas.openxmlformats.org/package/2006/relationships"><Relationship Id="rId20" Type="http://schemas.openxmlformats.org/officeDocument/2006/relationships/hyperlink" Target="https://wiki.disneystreaming.com/pages/viewpage.action?pageId=109782598"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wiki.disneystreaming.com/display/PMAO/Adobe+Launch+Technical+Process+Playbook" TargetMode="External"/><Relationship Id="rId24" Type="http://schemas.openxmlformats.org/officeDocument/2006/relationships/hyperlink" Target="https://wiki.disneystreaming.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isney.zoom.us/j/99721187900?pwd=WkFWTU1YeFo3QTJITHRTNXhqa1U5QT09" TargetMode="External"/><Relationship Id="rId3" Type="http://schemas.openxmlformats.org/officeDocument/2006/relationships/hyperlink" Target="https://docs.google.com/presentation/d/11_t03SccN4M9akQZfwiEO0vKT9v0s0iHmqxOZ0UCKb8/edit" TargetMode="External"/><Relationship Id="rId4" Type="http://schemas.openxmlformats.org/officeDocument/2006/relationships/hyperlink" Target="https://docs.google.com/presentation/d/10-iFKNoHBapQTYYdLXPLTk0If_HlPng2S83V6X2EviI/edit?usp=sharing" TargetMode="External"/><Relationship Id="rId9" Type="http://schemas.openxmlformats.org/officeDocument/2006/relationships/hyperlink" Target="https://airtable.com/appJO3dsNwYh3ty2b/tblsD3Tm9klabfaGp/viwplmP4NKNr0p7kE/rec4bxy7o84uPIC8y" TargetMode="External"/><Relationship Id="rId26" Type="http://schemas.openxmlformats.org/officeDocument/2006/relationships/hyperlink" Target="https://airtable.com/appJO3dsNwYh3ty2b/tblsD3Tm9klabfaGp/viwPsrfhNXmv0VZOF/recVrmdwGobKEciV9"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hyperlink" Target="https://airtable.com/appJO3dsNwYh3ty2b/tblsD3Tm9klabfaGp/viwNZiPzNYMasXeHL/recFcrqNEWyC5aTgq" TargetMode="External"/><Relationship Id="rId27" Type="http://schemas.openxmlformats.org/officeDocument/2006/relationships/hyperlink" Target="https://docs.google.com/presentation/d/10JMfF6rs2Hsw2GgUggp41RHNOCKiNBFQO_zBJMp1p6g/edit"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docs.google.com/spreadsheets/d/1MHVW_9WA11ioKsTf-jbjVoVj6oUK6PSO8AiOlW9hFg4/edit" TargetMode="External"/><Relationship Id="rId29" Type="http://schemas.openxmlformats.org/officeDocument/2006/relationships/drawing" Target="../drawings/drawing21.xml"/><Relationship Id="rId7" Type="http://schemas.openxmlformats.org/officeDocument/2006/relationships/hyperlink" Target="https://wiki.disneystreaming.com/display/PMAO/IAS+and+Blocking" TargetMode="External"/><Relationship Id="rId8" Type="http://schemas.openxmlformats.org/officeDocument/2006/relationships/hyperlink" Target="https://docs.google.com/presentation/d/1sKVKOcsaFjvdZuzJsoC6gkP0KaSEjDRPtzhRxbh_E-c/edit" TargetMode="External"/><Relationship Id="rId11" Type="http://schemas.openxmlformats.org/officeDocument/2006/relationships/hyperlink" Target="https://wiki.disneystreaming.com/display/PMAO/Trafficking+101" TargetMode="External"/><Relationship Id="rId10" Type="http://schemas.openxmlformats.org/officeDocument/2006/relationships/hyperlink" Target="http://adops.us-east-1.dpegrid.net/" TargetMode="External"/><Relationship Id="rId13" Type="http://schemas.openxmlformats.org/officeDocument/2006/relationships/hyperlink" Target="https://docs.google.com/spreadsheets/d/1224rh6uJdu0P_mXXKCiu7d6s7SYyeAh6zPrYmsxx6CU/edit" TargetMode="External"/><Relationship Id="rId12" Type="http://schemas.openxmlformats.org/officeDocument/2006/relationships/hyperlink" Target="https://airtable.com/appJO3dsNwYh3ty2b/tblsD3Tm9klabfaGp/viwplmP4NKNr0p7kE/recwVfmhkagjsaQSY" TargetMode="External"/><Relationship Id="rId15" Type="http://schemas.openxmlformats.org/officeDocument/2006/relationships/hyperlink" Target="https://wiki.disneystreaming.com/display/PMAO/Platform+Conversion+Pixel+Generation" TargetMode="External"/><Relationship Id="rId14" Type="http://schemas.openxmlformats.org/officeDocument/2006/relationships/hyperlink" Target="https://wiki.disneystreaming.com/display/PMAO/Smartly+DCO" TargetMode="External"/><Relationship Id="rId17" Type="http://schemas.openxmlformats.org/officeDocument/2006/relationships/hyperlink" Target="https://wiki.disneystreaming.com/display/PMAO/Kochava" TargetMode="External"/><Relationship Id="rId16" Type="http://schemas.openxmlformats.org/officeDocument/2006/relationships/hyperlink" Target="https://docs.google.com/presentation/d/18ZO1lTt7KsGoX3nrOVfG0qdAegob8gCx6QtSVWaMwcU/edit"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airtable.com/appveL10KaxDGI8rL/shrr8QV1BqgWconRP" TargetMode="External"/><Relationship Id="rId2" Type="http://schemas.openxmlformats.org/officeDocument/2006/relationships/hyperlink" Target="https://airtable.com/appveL10KaxDGI8rL/tbl0l11cbFlsRVVqX/viwemr5y5XwimGB7c?blocks=bipi6KWPSU4wbiJgs" TargetMode="External"/><Relationship Id="rId3" Type="http://schemas.openxmlformats.org/officeDocument/2006/relationships/hyperlink" Target="mailto:shah.bari@disneystreaming.com" TargetMode="External"/><Relationship Id="rId4" Type="http://schemas.openxmlformats.org/officeDocument/2006/relationships/hyperlink" Target="https://airtable.com/appveL10KaxDGI8rL/tbl0l11cbFlsRVVqX/viwemr5y5XwimGB7c?blocks=bipi6KWPSU4wbiJgs" TargetMode="External"/><Relationship Id="rId9" Type="http://schemas.openxmlformats.org/officeDocument/2006/relationships/hyperlink" Target="mailto:shah.bari@disneystreaming.com" TargetMode="External"/><Relationship Id="rId5" Type="http://schemas.openxmlformats.org/officeDocument/2006/relationships/hyperlink" Target="mailto:shah.bari@disneystreaming.com" TargetMode="External"/><Relationship Id="rId6" Type="http://schemas.openxmlformats.org/officeDocument/2006/relationships/hyperlink" Target="mailto:shah.bari@disneystreaming.com" TargetMode="External"/><Relationship Id="rId7" Type="http://schemas.openxmlformats.org/officeDocument/2006/relationships/hyperlink" Target="mailto:shah.bari@disneystreaming.com" TargetMode="External"/><Relationship Id="rId8" Type="http://schemas.openxmlformats.org/officeDocument/2006/relationships/hyperlink" Target="https://airtable.com/appWztOg6cgY30Dbn/shr5RcKWqtJq0SSQc" TargetMode="External"/><Relationship Id="rId11" Type="http://schemas.openxmlformats.org/officeDocument/2006/relationships/hyperlink" Target="https://wiki.disneystreaming.com/display/PMAO/Onboarding+Guide" TargetMode="External"/><Relationship Id="rId10" Type="http://schemas.openxmlformats.org/officeDocument/2006/relationships/hyperlink" Target="https://wiki.disneystreaming.com/display/PMAO/Onboarding+Guide" TargetMode="External"/><Relationship Id="rId13" Type="http://schemas.openxmlformats.org/officeDocument/2006/relationships/drawing" Target="../drawings/drawing22.xml"/><Relationship Id="rId12" Type="http://schemas.openxmlformats.org/officeDocument/2006/relationships/hyperlink" Target="https://airtable.com/appveL10KaxDGI8rL/tbl0l11cbFlsRVVqX/viwemr5y5XwimGB7c?blocks=bipi6KWPSU4wbiJgs" TargetMode="External"/></Relationships>
</file>

<file path=xl/worksheets/_rels/sheet23.xml.rels><?xml version="1.0" encoding="UTF-8" standalone="yes"?><Relationships xmlns="http://schemas.openxmlformats.org/package/2006/relationships"><Relationship Id="rId20" Type="http://schemas.openxmlformats.org/officeDocument/2006/relationships/hyperlink" Target="https://wiki.disneystreaming.com/pages/viewpage.action?pageId=109782598" TargetMode="External"/><Relationship Id="rId22" Type="http://schemas.openxmlformats.org/officeDocument/2006/relationships/hyperlink" Target="https://docs.google.com/presentation/d/1Mg--RugparxB0Djq-tUltVhUD4YpjYRNQqlA2hjnMuY/edit" TargetMode="External"/><Relationship Id="rId21" Type="http://schemas.openxmlformats.org/officeDocument/2006/relationships/hyperlink" Target="https://wiki.disneystreaming.com/display/PMAO/Adobe+Launch+Technical+Process+Playbook" TargetMode="External"/><Relationship Id="rId24" Type="http://schemas.openxmlformats.org/officeDocument/2006/relationships/hyperlink" Target="https://wiki.disneystreaming.com/display/PMAO/Studio+Tagging+Process" TargetMode="External"/><Relationship Id="rId23" Type="http://schemas.openxmlformats.org/officeDocument/2006/relationships/hyperlink" Target="https://airtable.com/appJO3dsNwYh3ty2b/tblsD3Tm9klabfaGp/viwpJMo6CeejCoJea/recw3DEdDLIKwR07l" TargetMode="External"/><Relationship Id="rId1" Type="http://schemas.openxmlformats.org/officeDocument/2006/relationships/hyperlink" Target="https://disney.zoom.us/j/99721187900?pwd=WkFWTU1YeFo3QTJITHRTNXhqa1U5QT09" TargetMode="External"/><Relationship Id="rId2" Type="http://schemas.openxmlformats.org/officeDocument/2006/relationships/hyperlink" Target="https://disney.zoom.us/j/99721187900?pwd=WkFWTU1YeFo3QTJITHRTNXhqa1U5QT09" TargetMode="External"/><Relationship Id="rId3" Type="http://schemas.openxmlformats.org/officeDocument/2006/relationships/hyperlink" Target="https://docs.google.com/presentation/d/11_t03SccN4M9akQZfwiEO0vKT9v0s0iHmqxOZ0UCKb8/edit" TargetMode="External"/><Relationship Id="rId4" Type="http://schemas.openxmlformats.org/officeDocument/2006/relationships/hyperlink" Target="https://docs.google.com/presentation/d/10-iFKNoHBapQTYYdLXPLTk0If_HlPng2S83V6X2EviI/edit?usp=sharing" TargetMode="External"/><Relationship Id="rId9" Type="http://schemas.openxmlformats.org/officeDocument/2006/relationships/hyperlink" Target="https://airtable.com/appJO3dsNwYh3ty2b/tblsD3Tm9klabfaGp/viwplmP4NKNr0p7kE/rec4bxy7o84uPIC8y" TargetMode="External"/><Relationship Id="rId26" Type="http://schemas.openxmlformats.org/officeDocument/2006/relationships/hyperlink" Target="https://airtable.com/appJO3dsNwYh3ty2b/tblsD3Tm9klabfaGp/viwPsrfhNXmv0VZOF/recVrmdwGobKEciV9" TargetMode="External"/><Relationship Id="rId25" Type="http://schemas.openxmlformats.org/officeDocument/2006/relationships/hyperlink" Target="https://airtable.com/appJO3dsNwYh3ty2b/tblsD3Tm9klabfaGp/viwIa9RFxt2WbxHOs/recq5H4isomSuWJcD" TargetMode="External"/><Relationship Id="rId28" Type="http://schemas.openxmlformats.org/officeDocument/2006/relationships/hyperlink" Target="https://airtable.com/appJO3dsNwYh3ty2b/tblsD3Tm9klabfaGp/viwNZiPzNYMasXeHL/recFcrqNEWyC5aTgq" TargetMode="External"/><Relationship Id="rId27" Type="http://schemas.openxmlformats.org/officeDocument/2006/relationships/hyperlink" Target="https://docs.google.com/presentation/d/10JMfF6rs2Hsw2GgUggp41RHNOCKiNBFQO_zBJMp1p6g/edit" TargetMode="External"/><Relationship Id="rId5" Type="http://schemas.openxmlformats.org/officeDocument/2006/relationships/hyperlink" Target="https://docs.google.com/presentation/d/10JMfF6rs2Hsw2GgUggp41RHNOCKiNBFQO_zBJMp1p6g/edit" TargetMode="External"/><Relationship Id="rId6" Type="http://schemas.openxmlformats.org/officeDocument/2006/relationships/hyperlink" Target="https://docs.google.com/spreadsheets/d/1MHVW_9WA11ioKsTf-jbjVoVj6oUK6PSO8AiOlW9hFg4/edit" TargetMode="External"/><Relationship Id="rId29" Type="http://schemas.openxmlformats.org/officeDocument/2006/relationships/drawing" Target="../drawings/drawing23.xml"/><Relationship Id="rId7" Type="http://schemas.openxmlformats.org/officeDocument/2006/relationships/hyperlink" Target="https://wiki.disneystreaming.com/display/PMAO/IAS+and+Blocking" TargetMode="External"/><Relationship Id="rId8" Type="http://schemas.openxmlformats.org/officeDocument/2006/relationships/hyperlink" Target="https://docs.google.com/presentation/d/1sKVKOcsaFjvdZuzJsoC6gkP0KaSEjDRPtzhRxbh_E-c/edit" TargetMode="External"/><Relationship Id="rId11" Type="http://schemas.openxmlformats.org/officeDocument/2006/relationships/hyperlink" Target="https://wiki.disneystreaming.com/display/PMAO/Trafficking+101" TargetMode="External"/><Relationship Id="rId10" Type="http://schemas.openxmlformats.org/officeDocument/2006/relationships/hyperlink" Target="http://adops.us-east-1.dpegrid.net/" TargetMode="External"/><Relationship Id="rId13" Type="http://schemas.openxmlformats.org/officeDocument/2006/relationships/hyperlink" Target="https://docs.google.com/spreadsheets/d/1224rh6uJdu0P_mXXKCiu7d6s7SYyeAh6zPrYmsxx6CU/edit" TargetMode="External"/><Relationship Id="rId12" Type="http://schemas.openxmlformats.org/officeDocument/2006/relationships/hyperlink" Target="https://airtable.com/appJO3dsNwYh3ty2b/tblsD3Tm9klabfaGp/viwplmP4NKNr0p7kE/recwVfmhkagjsaQSY" TargetMode="External"/><Relationship Id="rId15" Type="http://schemas.openxmlformats.org/officeDocument/2006/relationships/hyperlink" Target="https://wiki.disneystreaming.com/display/PMAO/Platform+Conversion+Pixel+Generation" TargetMode="External"/><Relationship Id="rId14" Type="http://schemas.openxmlformats.org/officeDocument/2006/relationships/hyperlink" Target="https://wiki.disneystreaming.com/display/PMAO/Smartly+DCO" TargetMode="External"/><Relationship Id="rId17" Type="http://schemas.openxmlformats.org/officeDocument/2006/relationships/hyperlink" Target="https://wiki.disneystreaming.com/display/PMAO/Kochava" TargetMode="External"/><Relationship Id="rId16" Type="http://schemas.openxmlformats.org/officeDocument/2006/relationships/hyperlink" Target="https://docs.google.com/presentation/d/18ZO1lTt7KsGoX3nrOVfG0qdAegob8gCx6QtSVWaMwcU/edit" TargetMode="External"/><Relationship Id="rId19" Type="http://schemas.openxmlformats.org/officeDocument/2006/relationships/hyperlink" Target="https://docs.google.com/spreadsheets/d/1IKJB56UpsutANEhnTIeFHCQXcj7EEGDcu9bZqUf5G8M/edit" TargetMode="External"/><Relationship Id="rId18" Type="http://schemas.openxmlformats.org/officeDocument/2006/relationships/hyperlink" Target="https://airtable.com/appJO3dsNwYh3ty2b/tblsD3Tm9klabfaGp/viwZ6I7Qe0fWm6e3U/recPBd5HxcCuoPYcW"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airtable.com/appveL10KaxDGI8rL/shrr8QV1BqgWconRP" TargetMode="External"/><Relationship Id="rId2" Type="http://schemas.openxmlformats.org/officeDocument/2006/relationships/hyperlink" Target="https://airtable.com/appveL10KaxDGI8rL/tbl0l11cbFlsRVVqX/viwemr5y5XwimGB7c?blocks=bipi6KWPSU4wbiJgs" TargetMode="External"/><Relationship Id="rId3" Type="http://schemas.openxmlformats.org/officeDocument/2006/relationships/hyperlink" Target="https://airtable.com/appveL10KaxDGI8rL/tbl0l11cbFlsRVVqX/viwemr5y5XwimGB7c?blocks=bipi6KWPSU4wbiJgs" TargetMode="External"/><Relationship Id="rId4" Type="http://schemas.openxmlformats.org/officeDocument/2006/relationships/hyperlink" Target="https://airtable.com/appJO3dsNwYh3ty2b/shrrW17i6kjSyLEQw" TargetMode="External"/><Relationship Id="rId9" Type="http://schemas.openxmlformats.org/officeDocument/2006/relationships/drawing" Target="../drawings/drawing24.xml"/><Relationship Id="rId5" Type="http://schemas.openxmlformats.org/officeDocument/2006/relationships/hyperlink" Target="https://airtable.com/appWztOg6cgY30Dbn/shr5RcKWqtJq0SSQc" TargetMode="External"/><Relationship Id="rId6" Type="http://schemas.openxmlformats.org/officeDocument/2006/relationships/hyperlink" Target="https://wiki.disneystreaming.com/display/PMAO/Onboarding+Guide" TargetMode="External"/><Relationship Id="rId7" Type="http://schemas.openxmlformats.org/officeDocument/2006/relationships/hyperlink" Target="https://wiki.disneystreaming.com/display/PMAO/Onboarding+Guide" TargetMode="External"/><Relationship Id="rId8" Type="http://schemas.openxmlformats.org/officeDocument/2006/relationships/hyperlink" Target="https://airtable.com/appveL10KaxDGI8rL/tbl0l11cbFlsRVVqX/viwemr5y5XwimGB7c?blocks=bipi6KWPSU4wbiJgs"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24.38"/>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45292.0</v>
      </c>
      <c r="C2" s="2"/>
      <c r="D2" s="3"/>
      <c r="E2" s="4"/>
      <c r="F2" s="4"/>
      <c r="G2" s="4"/>
      <c r="H2" s="4"/>
      <c r="I2" s="4"/>
      <c r="J2" s="1"/>
      <c r="K2" s="1"/>
      <c r="L2" s="5"/>
      <c r="M2" s="1"/>
      <c r="N2" s="1"/>
      <c r="O2" s="1"/>
      <c r="P2" s="1"/>
    </row>
    <row r="3">
      <c r="A3" s="1"/>
      <c r="B3" s="7" t="s">
        <v>1</v>
      </c>
      <c r="C3" s="8"/>
      <c r="D3" s="9" t="s">
        <v>2</v>
      </c>
      <c r="E3" s="10"/>
      <c r="F3" s="10"/>
      <c r="G3" s="10"/>
      <c r="H3" s="10"/>
      <c r="I3" s="10"/>
      <c r="J3" s="10"/>
      <c r="K3" s="10"/>
      <c r="L3" s="10"/>
      <c r="M3" s="10"/>
      <c r="N3" s="10"/>
      <c r="O3" s="11"/>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7" t="s">
        <v>17</v>
      </c>
      <c r="C5" s="18" t="b">
        <v>0</v>
      </c>
      <c r="D5" s="19">
        <v>1.0</v>
      </c>
      <c r="E5" s="19" t="str">
        <f t="shared" ref="E5:E32" si="1">TEXT(F5, "dddd")</f>
        <v>Monday</v>
      </c>
      <c r="F5" s="20">
        <f>B2</f>
        <v>45292</v>
      </c>
      <c r="G5" s="19" t="s">
        <v>18</v>
      </c>
      <c r="H5" s="21">
        <v>0.5</v>
      </c>
      <c r="I5" s="21">
        <v>0.5208333333333334</v>
      </c>
      <c r="J5" s="19" t="s">
        <v>19</v>
      </c>
      <c r="K5" s="22"/>
      <c r="L5" s="23" t="s">
        <v>20</v>
      </c>
      <c r="M5" s="19" t="s">
        <v>21</v>
      </c>
      <c r="N5" s="19" t="s">
        <v>22</v>
      </c>
      <c r="O5" s="24" t="s">
        <v>23</v>
      </c>
      <c r="P5" s="16"/>
    </row>
    <row r="6" ht="52.5" customHeight="1">
      <c r="A6" s="16"/>
      <c r="B6" s="25" t="s">
        <v>24</v>
      </c>
      <c r="C6" s="26" t="b">
        <v>0</v>
      </c>
      <c r="D6" s="27">
        <v>1.0</v>
      </c>
      <c r="E6" s="27" t="str">
        <f t="shared" si="1"/>
        <v>Tuesday</v>
      </c>
      <c r="F6" s="28">
        <f>WORKDAY(B2, 1)</f>
        <v>45293</v>
      </c>
      <c r="G6" s="27" t="s">
        <v>18</v>
      </c>
      <c r="H6" s="29">
        <v>0.5</v>
      </c>
      <c r="I6" s="29">
        <v>0.5208333333333334</v>
      </c>
      <c r="J6" s="30"/>
      <c r="K6" s="30"/>
      <c r="L6" s="31" t="s">
        <v>25</v>
      </c>
      <c r="M6" s="32" t="s">
        <v>26</v>
      </c>
      <c r="N6" s="27" t="s">
        <v>22</v>
      </c>
      <c r="O6" s="33" t="s">
        <v>23</v>
      </c>
      <c r="P6" s="16"/>
    </row>
    <row r="7" ht="52.5" customHeight="1">
      <c r="A7" s="16"/>
      <c r="B7" s="34" t="s">
        <v>27</v>
      </c>
      <c r="C7" s="18" t="b">
        <v>0</v>
      </c>
      <c r="D7" s="35">
        <v>1.0</v>
      </c>
      <c r="E7" s="35" t="str">
        <f t="shared" si="1"/>
        <v>Wednesday</v>
      </c>
      <c r="F7" s="36">
        <f>WORKDAY(B2, 2)</f>
        <v>45294</v>
      </c>
      <c r="G7" s="35" t="s">
        <v>18</v>
      </c>
      <c r="H7" s="37">
        <v>0.5</v>
      </c>
      <c r="I7" s="37">
        <v>0.5208333333333334</v>
      </c>
      <c r="J7" s="38"/>
      <c r="K7" s="35"/>
      <c r="L7" s="39" t="s">
        <v>28</v>
      </c>
      <c r="M7" s="40" t="s">
        <v>29</v>
      </c>
      <c r="N7" s="35" t="s">
        <v>22</v>
      </c>
      <c r="O7" s="41" t="s">
        <v>23</v>
      </c>
      <c r="P7" s="16"/>
    </row>
    <row r="8" ht="52.5" customHeight="1">
      <c r="A8" s="16"/>
      <c r="B8" s="25" t="s">
        <v>30</v>
      </c>
      <c r="C8" s="26" t="b">
        <v>0</v>
      </c>
      <c r="D8" s="27">
        <v>2.0</v>
      </c>
      <c r="E8" s="27" t="str">
        <f t="shared" si="1"/>
        <v>Monday</v>
      </c>
      <c r="F8" s="28">
        <f>WORKDAY(B2, 5)</f>
        <v>45299</v>
      </c>
      <c r="G8" s="27" t="s">
        <v>18</v>
      </c>
      <c r="H8" s="29">
        <v>0.5</v>
      </c>
      <c r="I8" s="29">
        <v>0.5208333333333334</v>
      </c>
      <c r="J8" s="27" t="s">
        <v>31</v>
      </c>
      <c r="K8" s="30"/>
      <c r="L8" s="31" t="s">
        <v>32</v>
      </c>
      <c r="M8" s="32" t="s">
        <v>33</v>
      </c>
      <c r="N8" s="27" t="s">
        <v>22</v>
      </c>
      <c r="O8" s="33" t="s">
        <v>23</v>
      </c>
      <c r="P8" s="16"/>
    </row>
    <row r="9" ht="52.5" customHeight="1">
      <c r="A9" s="16"/>
      <c r="B9" s="34" t="s">
        <v>34</v>
      </c>
      <c r="C9" s="18" t="b">
        <v>0</v>
      </c>
      <c r="D9" s="35">
        <v>2.0</v>
      </c>
      <c r="E9" s="35" t="str">
        <f t="shared" si="1"/>
        <v>Tuesday</v>
      </c>
      <c r="F9" s="36">
        <f>WORKDAY(B2, 6)</f>
        <v>45300</v>
      </c>
      <c r="G9" s="35" t="s">
        <v>18</v>
      </c>
      <c r="H9" s="37">
        <v>0.5</v>
      </c>
      <c r="I9" s="37">
        <v>0.5208333333333334</v>
      </c>
      <c r="J9" s="38"/>
      <c r="K9" s="38"/>
      <c r="L9" s="42" t="s">
        <v>35</v>
      </c>
      <c r="M9" s="40" t="s">
        <v>36</v>
      </c>
      <c r="N9" s="35" t="s">
        <v>22</v>
      </c>
      <c r="O9" s="41" t="s">
        <v>37</v>
      </c>
      <c r="P9" s="16"/>
    </row>
    <row r="10" ht="52.5" customHeight="1">
      <c r="A10" s="16"/>
      <c r="B10" s="25" t="s">
        <v>38</v>
      </c>
      <c r="C10" s="26" t="b">
        <v>0</v>
      </c>
      <c r="D10" s="27">
        <v>2.0</v>
      </c>
      <c r="E10" s="27" t="str">
        <f t="shared" si="1"/>
        <v>Tuesday</v>
      </c>
      <c r="F10" s="28">
        <f>WORKDAY(B2, 6)</f>
        <v>45300</v>
      </c>
      <c r="G10" s="27" t="s">
        <v>39</v>
      </c>
      <c r="H10" s="29">
        <v>0.5208333333333334</v>
      </c>
      <c r="I10" s="29">
        <v>0.5625</v>
      </c>
      <c r="J10" s="30"/>
      <c r="K10" s="27"/>
      <c r="L10" s="31" t="s">
        <v>40</v>
      </c>
      <c r="M10" s="32" t="s">
        <v>41</v>
      </c>
      <c r="N10" s="32" t="s">
        <v>42</v>
      </c>
      <c r="O10" s="43" t="s">
        <v>37</v>
      </c>
      <c r="P10" s="16"/>
    </row>
    <row r="11" ht="52.5" customHeight="1">
      <c r="A11" s="16"/>
      <c r="B11" s="34" t="s">
        <v>43</v>
      </c>
      <c r="C11" s="18" t="b">
        <v>0</v>
      </c>
      <c r="D11" s="35">
        <v>2.0</v>
      </c>
      <c r="E11" s="35" t="str">
        <f t="shared" si="1"/>
        <v>Wednesday</v>
      </c>
      <c r="F11" s="36">
        <f>WORKDAY(B2, 7)</f>
        <v>45301</v>
      </c>
      <c r="G11" s="35" t="s">
        <v>18</v>
      </c>
      <c r="H11" s="37">
        <v>0.5</v>
      </c>
      <c r="I11" s="37">
        <v>0.5208333333333334</v>
      </c>
      <c r="J11" s="38"/>
      <c r="K11" s="38"/>
      <c r="L11" s="39" t="s">
        <v>44</v>
      </c>
      <c r="M11" s="40" t="s">
        <v>45</v>
      </c>
      <c r="N11" s="35" t="s">
        <v>22</v>
      </c>
      <c r="O11" s="41" t="s">
        <v>23</v>
      </c>
      <c r="P11" s="16"/>
    </row>
    <row r="12" ht="52.5" customHeight="1">
      <c r="A12" s="16"/>
      <c r="B12" s="25" t="s">
        <v>46</v>
      </c>
      <c r="C12" s="26" t="b">
        <v>0</v>
      </c>
      <c r="D12" s="27">
        <v>2.0</v>
      </c>
      <c r="E12" s="27" t="str">
        <f t="shared" si="1"/>
        <v>Wednesday</v>
      </c>
      <c r="F12" s="28">
        <f>WORKDAY(B2, 7)</f>
        <v>45301</v>
      </c>
      <c r="G12" s="27" t="s">
        <v>18</v>
      </c>
      <c r="H12" s="29">
        <v>0.5208333333333334</v>
      </c>
      <c r="I12" s="29">
        <v>0.5416666666666666</v>
      </c>
      <c r="J12" s="30"/>
      <c r="K12" s="30"/>
      <c r="L12" s="31" t="s">
        <v>47</v>
      </c>
      <c r="M12" s="27" t="s">
        <v>22</v>
      </c>
      <c r="N12" s="27" t="s">
        <v>22</v>
      </c>
      <c r="O12" s="33" t="s">
        <v>23</v>
      </c>
      <c r="P12" s="16"/>
    </row>
    <row r="13" ht="52.5" customHeight="1">
      <c r="A13" s="16"/>
      <c r="B13" s="34" t="s">
        <v>48</v>
      </c>
      <c r="C13" s="18" t="b">
        <v>0</v>
      </c>
      <c r="D13" s="35">
        <v>3.0</v>
      </c>
      <c r="E13" s="35" t="str">
        <f t="shared" si="1"/>
        <v>Tuesday</v>
      </c>
      <c r="F13" s="36">
        <f>WORKDAY(B2, 11)</f>
        <v>45307</v>
      </c>
      <c r="G13" s="35" t="s">
        <v>39</v>
      </c>
      <c r="H13" s="37">
        <v>0.5</v>
      </c>
      <c r="I13" s="37">
        <v>0.5416666666666666</v>
      </c>
      <c r="J13" s="38"/>
      <c r="K13" s="38"/>
      <c r="L13" s="39" t="s">
        <v>49</v>
      </c>
      <c r="M13" s="35" t="s">
        <v>22</v>
      </c>
      <c r="N13" s="35" t="s">
        <v>22</v>
      </c>
      <c r="O13" s="41" t="s">
        <v>50</v>
      </c>
      <c r="P13" s="16"/>
    </row>
    <row r="14" ht="52.5" customHeight="1">
      <c r="A14" s="16"/>
      <c r="B14" s="25" t="s">
        <v>51</v>
      </c>
      <c r="C14" s="26" t="b">
        <v>0</v>
      </c>
      <c r="D14" s="27">
        <v>3.0</v>
      </c>
      <c r="E14" s="27" t="str">
        <f t="shared" si="1"/>
        <v>Wednesday</v>
      </c>
      <c r="F14" s="28">
        <f>WORKDAY(B2, 12)</f>
        <v>45308</v>
      </c>
      <c r="G14" s="27" t="s">
        <v>18</v>
      </c>
      <c r="H14" s="29">
        <v>0.5</v>
      </c>
      <c r="I14" s="29">
        <v>0.5208333333333334</v>
      </c>
      <c r="J14" s="30"/>
      <c r="K14" s="30"/>
      <c r="L14" s="31" t="s">
        <v>52</v>
      </c>
      <c r="M14" s="32" t="s">
        <v>53</v>
      </c>
      <c r="N14" s="32" t="s">
        <v>42</v>
      </c>
      <c r="O14" s="43" t="s">
        <v>50</v>
      </c>
      <c r="P14" s="16"/>
    </row>
    <row r="15" ht="52.5" customHeight="1">
      <c r="A15" s="16"/>
      <c r="B15" s="34" t="s">
        <v>54</v>
      </c>
      <c r="C15" s="18" t="b">
        <v>0</v>
      </c>
      <c r="D15" s="35">
        <v>3.0</v>
      </c>
      <c r="E15" s="35" t="str">
        <f t="shared" si="1"/>
        <v>Wednesday</v>
      </c>
      <c r="F15" s="36">
        <f>WORKDAY(B2, 12)</f>
        <v>45308</v>
      </c>
      <c r="G15" s="35" t="s">
        <v>18</v>
      </c>
      <c r="H15" s="37">
        <v>0.5416666666666666</v>
      </c>
      <c r="I15" s="37">
        <v>0.5625</v>
      </c>
      <c r="J15" s="38"/>
      <c r="K15" s="38"/>
      <c r="L15" s="39" t="s">
        <v>55</v>
      </c>
      <c r="M15" s="40" t="s">
        <v>56</v>
      </c>
      <c r="N15" s="35" t="s">
        <v>57</v>
      </c>
      <c r="O15" s="41" t="s">
        <v>50</v>
      </c>
      <c r="P15" s="16"/>
    </row>
    <row r="16" ht="52.5" customHeight="1">
      <c r="A16" s="16"/>
      <c r="B16" s="25" t="s">
        <v>58</v>
      </c>
      <c r="C16" s="26" t="b">
        <v>0</v>
      </c>
      <c r="D16" s="27">
        <v>3.0</v>
      </c>
      <c r="E16" s="27" t="str">
        <f t="shared" si="1"/>
        <v>Thursday</v>
      </c>
      <c r="F16" s="28">
        <f>WORKDAY(B2, 13)</f>
        <v>45309</v>
      </c>
      <c r="G16" s="27" t="s">
        <v>18</v>
      </c>
      <c r="H16" s="29">
        <v>0.5</v>
      </c>
      <c r="I16" s="29">
        <v>0.5208333333333334</v>
      </c>
      <c r="J16" s="27" t="s">
        <v>19</v>
      </c>
      <c r="K16" s="30"/>
      <c r="L16" s="31" t="s">
        <v>59</v>
      </c>
      <c r="M16" s="44" t="s">
        <v>22</v>
      </c>
      <c r="N16" s="27" t="s">
        <v>22</v>
      </c>
      <c r="O16" s="33" t="s">
        <v>23</v>
      </c>
      <c r="P16" s="16"/>
    </row>
    <row r="17" ht="52.5" customHeight="1">
      <c r="A17" s="16"/>
      <c r="B17" s="34" t="s">
        <v>60</v>
      </c>
      <c r="C17" s="18" t="b">
        <v>0</v>
      </c>
      <c r="D17" s="35">
        <v>4.0</v>
      </c>
      <c r="E17" s="35" t="str">
        <f t="shared" si="1"/>
        <v>Monday</v>
      </c>
      <c r="F17" s="36">
        <f>WORKDAY(B2, 15)</f>
        <v>45313</v>
      </c>
      <c r="G17" s="35" t="s">
        <v>18</v>
      </c>
      <c r="H17" s="37">
        <v>0.5</v>
      </c>
      <c r="I17" s="37">
        <v>0.5208333333333334</v>
      </c>
      <c r="J17" s="38"/>
      <c r="K17" s="38"/>
      <c r="L17" s="39" t="s">
        <v>61</v>
      </c>
      <c r="M17" s="40" t="s">
        <v>62</v>
      </c>
      <c r="N17" s="35" t="s">
        <v>22</v>
      </c>
      <c r="O17" s="41" t="s">
        <v>37</v>
      </c>
      <c r="P17" s="16"/>
    </row>
    <row r="18" ht="52.5" customHeight="1">
      <c r="A18" s="16"/>
      <c r="B18" s="25" t="s">
        <v>63</v>
      </c>
      <c r="C18" s="26" t="b">
        <v>0</v>
      </c>
      <c r="D18" s="27">
        <v>4.0</v>
      </c>
      <c r="E18" s="27" t="str">
        <f t="shared" si="1"/>
        <v>Tuesday</v>
      </c>
      <c r="F18" s="28">
        <f>WORKDAY(B2, 16)</f>
        <v>45314</v>
      </c>
      <c r="G18" s="27" t="s">
        <v>18</v>
      </c>
      <c r="H18" s="29">
        <v>0.5</v>
      </c>
      <c r="I18" s="29">
        <v>0.5208333333333334</v>
      </c>
      <c r="J18" s="30"/>
      <c r="K18" s="30"/>
      <c r="L18" s="31" t="s">
        <v>64</v>
      </c>
      <c r="M18" s="45" t="s">
        <v>65</v>
      </c>
      <c r="N18" s="27" t="s">
        <v>22</v>
      </c>
      <c r="O18" s="33" t="s">
        <v>66</v>
      </c>
      <c r="P18" s="16"/>
    </row>
    <row r="19" ht="52.5" customHeight="1">
      <c r="A19" s="16"/>
      <c r="B19" s="34" t="s">
        <v>67</v>
      </c>
      <c r="C19" s="18" t="b">
        <v>0</v>
      </c>
      <c r="D19" s="35">
        <v>4.0</v>
      </c>
      <c r="E19" s="35" t="str">
        <f t="shared" si="1"/>
        <v>Tuesday</v>
      </c>
      <c r="F19" s="36">
        <f>WORKDAY(B2, 16)</f>
        <v>45314</v>
      </c>
      <c r="G19" s="35" t="s">
        <v>68</v>
      </c>
      <c r="H19" s="37">
        <v>0.5208333333333334</v>
      </c>
      <c r="I19" s="37">
        <v>0.5520833333333334</v>
      </c>
      <c r="J19" s="38"/>
      <c r="K19" s="38"/>
      <c r="L19" s="39" t="s">
        <v>69</v>
      </c>
      <c r="M19" s="46"/>
      <c r="N19" s="40" t="s">
        <v>70</v>
      </c>
      <c r="O19" s="47" t="s">
        <v>66</v>
      </c>
      <c r="P19" s="16"/>
    </row>
    <row r="20" ht="52.5" customHeight="1">
      <c r="A20" s="16"/>
      <c r="B20" s="25" t="s">
        <v>71</v>
      </c>
      <c r="C20" s="26" t="b">
        <v>0</v>
      </c>
      <c r="D20" s="27">
        <v>4.0</v>
      </c>
      <c r="E20" s="27" t="str">
        <f t="shared" si="1"/>
        <v>Wednesday</v>
      </c>
      <c r="F20" s="28">
        <f>WORKDAY(B2, 17)</f>
        <v>45315</v>
      </c>
      <c r="G20" s="27" t="s">
        <v>18</v>
      </c>
      <c r="H20" s="29">
        <v>0.5</v>
      </c>
      <c r="I20" s="29">
        <v>0.5208333333333334</v>
      </c>
      <c r="J20" s="30"/>
      <c r="K20" s="30"/>
      <c r="L20" s="31" t="s">
        <v>72</v>
      </c>
      <c r="M20" s="45" t="s">
        <v>73</v>
      </c>
      <c r="N20" s="44" t="s">
        <v>22</v>
      </c>
      <c r="O20" s="43" t="s">
        <v>23</v>
      </c>
      <c r="P20" s="16"/>
    </row>
    <row r="21" ht="52.5" customHeight="1">
      <c r="A21" s="16"/>
      <c r="B21" s="34" t="s">
        <v>74</v>
      </c>
      <c r="C21" s="18" t="b">
        <v>0</v>
      </c>
      <c r="D21" s="35">
        <v>4.0</v>
      </c>
      <c r="E21" s="35" t="str">
        <f t="shared" si="1"/>
        <v>Thursday</v>
      </c>
      <c r="F21" s="36">
        <f>WORKDAY(B2, 18)</f>
        <v>45316</v>
      </c>
      <c r="G21" s="35" t="s">
        <v>39</v>
      </c>
      <c r="H21" s="37">
        <v>0.5</v>
      </c>
      <c r="I21" s="37">
        <v>0.5416666666666666</v>
      </c>
      <c r="J21" s="38"/>
      <c r="K21" s="38"/>
      <c r="L21" s="35" t="s">
        <v>75</v>
      </c>
      <c r="M21" s="46" t="s">
        <v>22</v>
      </c>
      <c r="N21" s="46" t="s">
        <v>22</v>
      </c>
      <c r="O21" s="47" t="s">
        <v>50</v>
      </c>
      <c r="P21" s="16"/>
    </row>
    <row r="22" ht="52.5" customHeight="1">
      <c r="A22" s="16"/>
      <c r="B22" s="25" t="s">
        <v>76</v>
      </c>
      <c r="C22" s="26" t="b">
        <v>0</v>
      </c>
      <c r="D22" s="27">
        <v>5.0</v>
      </c>
      <c r="E22" s="27" t="str">
        <f t="shared" si="1"/>
        <v>Monday</v>
      </c>
      <c r="F22" s="28">
        <f>WORKDAY(B2, 20)</f>
        <v>45320</v>
      </c>
      <c r="G22" s="27" t="s">
        <v>18</v>
      </c>
      <c r="H22" s="29">
        <v>0.5</v>
      </c>
      <c r="I22" s="29">
        <v>0.5208333333333334</v>
      </c>
      <c r="J22" s="27"/>
      <c r="K22" s="30"/>
      <c r="L22" s="48" t="s">
        <v>77</v>
      </c>
      <c r="M22" s="32" t="s">
        <v>78</v>
      </c>
      <c r="N22" s="44" t="s">
        <v>22</v>
      </c>
      <c r="O22" s="43" t="s">
        <v>37</v>
      </c>
      <c r="P22" s="16"/>
    </row>
    <row r="23" ht="52.5" customHeight="1">
      <c r="A23" s="16"/>
      <c r="B23" s="34" t="s">
        <v>79</v>
      </c>
      <c r="C23" s="18" t="b">
        <v>0</v>
      </c>
      <c r="D23" s="35">
        <v>5.0</v>
      </c>
      <c r="E23" s="35" t="str">
        <f t="shared" si="1"/>
        <v>Tuesday</v>
      </c>
      <c r="F23" s="36">
        <f>WORKDAY(B2, 21)</f>
        <v>45321</v>
      </c>
      <c r="G23" s="35" t="s">
        <v>39</v>
      </c>
      <c r="H23" s="37">
        <v>0.5</v>
      </c>
      <c r="I23" s="37">
        <v>0.5416666666666666</v>
      </c>
      <c r="J23" s="35"/>
      <c r="K23" s="38"/>
      <c r="L23" s="39" t="s">
        <v>80</v>
      </c>
      <c r="M23" s="40" t="s">
        <v>81</v>
      </c>
      <c r="N23" s="40" t="s">
        <v>82</v>
      </c>
      <c r="O23" s="47" t="s">
        <v>37</v>
      </c>
      <c r="P23" s="16"/>
    </row>
    <row r="24" ht="52.5" customHeight="1">
      <c r="A24" s="16"/>
      <c r="B24" s="25" t="s">
        <v>83</v>
      </c>
      <c r="C24" s="26" t="b">
        <v>0</v>
      </c>
      <c r="D24" s="27">
        <v>5.0</v>
      </c>
      <c r="E24" s="27" t="str">
        <f t="shared" si="1"/>
        <v>Wednesday</v>
      </c>
      <c r="F24" s="28">
        <f>WORKDAY(B2, 22)</f>
        <v>45322</v>
      </c>
      <c r="G24" s="27" t="s">
        <v>39</v>
      </c>
      <c r="H24" s="29">
        <v>0.5</v>
      </c>
      <c r="I24" s="29">
        <v>0.5416666666666666</v>
      </c>
      <c r="J24" s="30"/>
      <c r="K24" s="30"/>
      <c r="L24" s="31" t="s">
        <v>84</v>
      </c>
      <c r="M24" s="32" t="s">
        <v>85</v>
      </c>
      <c r="N24" s="32" t="s">
        <v>86</v>
      </c>
      <c r="O24" s="43" t="s">
        <v>37</v>
      </c>
      <c r="P24" s="16"/>
    </row>
    <row r="25" ht="52.5" customHeight="1">
      <c r="A25" s="16"/>
      <c r="B25" s="34" t="s">
        <v>87</v>
      </c>
      <c r="C25" s="18" t="b">
        <v>0</v>
      </c>
      <c r="D25" s="35">
        <v>5.0</v>
      </c>
      <c r="E25" s="35" t="str">
        <f t="shared" si="1"/>
        <v>Thursday</v>
      </c>
      <c r="F25" s="36">
        <f>WORKDAY(B2, 23)</f>
        <v>45323</v>
      </c>
      <c r="G25" s="35" t="s">
        <v>39</v>
      </c>
      <c r="H25" s="37">
        <v>0.5</v>
      </c>
      <c r="I25" s="37">
        <v>0.5416666666666666</v>
      </c>
      <c r="J25" s="38"/>
      <c r="K25" s="38"/>
      <c r="L25" s="39" t="s">
        <v>88</v>
      </c>
      <c r="M25" s="40" t="s">
        <v>89</v>
      </c>
      <c r="N25" s="40" t="s">
        <v>42</v>
      </c>
      <c r="O25" s="47" t="s">
        <v>37</v>
      </c>
      <c r="P25" s="16"/>
    </row>
    <row r="26" ht="52.5" customHeight="1">
      <c r="A26" s="16"/>
      <c r="B26" s="25" t="s">
        <v>90</v>
      </c>
      <c r="C26" s="26" t="b">
        <v>0</v>
      </c>
      <c r="D26" s="27">
        <v>5.0</v>
      </c>
      <c r="E26" s="27" t="str">
        <f t="shared" si="1"/>
        <v>Thursday</v>
      </c>
      <c r="F26" s="28">
        <f>WORKDAY(B2, 23)</f>
        <v>45323</v>
      </c>
      <c r="G26" s="27" t="s">
        <v>18</v>
      </c>
      <c r="H26" s="49">
        <v>0.5833333333333334</v>
      </c>
      <c r="I26" s="29">
        <v>0.6041666666666666</v>
      </c>
      <c r="J26" s="30"/>
      <c r="K26" s="30"/>
      <c r="L26" s="31" t="s">
        <v>91</v>
      </c>
      <c r="M26" s="27" t="s">
        <v>22</v>
      </c>
      <c r="N26" s="27" t="s">
        <v>22</v>
      </c>
      <c r="O26" s="33" t="s">
        <v>37</v>
      </c>
      <c r="P26" s="16"/>
    </row>
    <row r="27" ht="52.5" customHeight="1">
      <c r="A27" s="16"/>
      <c r="B27" s="50" t="s">
        <v>92</v>
      </c>
      <c r="C27" s="51" t="b">
        <v>0</v>
      </c>
      <c r="D27" s="52">
        <v>5.0</v>
      </c>
      <c r="E27" s="52" t="str">
        <f t="shared" si="1"/>
        <v>TBD</v>
      </c>
      <c r="F27" s="53" t="s">
        <v>93</v>
      </c>
      <c r="G27" s="52" t="s">
        <v>18</v>
      </c>
      <c r="H27" s="54" t="s">
        <v>93</v>
      </c>
      <c r="I27" s="55" t="s">
        <v>93</v>
      </c>
      <c r="J27" s="56" t="s">
        <v>94</v>
      </c>
      <c r="K27" s="56" t="s">
        <v>95</v>
      </c>
      <c r="L27" s="57" t="s">
        <v>96</v>
      </c>
      <c r="M27" s="58" t="s">
        <v>97</v>
      </c>
      <c r="N27" s="59"/>
      <c r="O27" s="60" t="s">
        <v>98</v>
      </c>
      <c r="P27" s="16"/>
    </row>
    <row r="28" ht="52.5" customHeight="1">
      <c r="A28" s="16"/>
      <c r="B28" s="25" t="s">
        <v>99</v>
      </c>
      <c r="C28" s="26" t="b">
        <v>0</v>
      </c>
      <c r="D28" s="27">
        <v>6.0</v>
      </c>
      <c r="E28" s="27" t="str">
        <f t="shared" si="1"/>
        <v>Tuesday</v>
      </c>
      <c r="F28" s="28">
        <f>WORKDAY(B2, 21)</f>
        <v>45321</v>
      </c>
      <c r="G28" s="27" t="s">
        <v>18</v>
      </c>
      <c r="H28" s="29">
        <v>0.5</v>
      </c>
      <c r="I28" s="29">
        <v>0.5208333333333334</v>
      </c>
      <c r="J28" s="27" t="s">
        <v>19</v>
      </c>
      <c r="K28" s="30"/>
      <c r="L28" s="27" t="s">
        <v>100</v>
      </c>
      <c r="M28" s="27" t="s">
        <v>22</v>
      </c>
      <c r="N28" s="27" t="s">
        <v>22</v>
      </c>
      <c r="O28" s="33" t="s">
        <v>23</v>
      </c>
      <c r="P28" s="16"/>
    </row>
    <row r="29" ht="52.5" customHeight="1">
      <c r="A29" s="61"/>
      <c r="B29" s="34" t="s">
        <v>101</v>
      </c>
      <c r="C29" s="18" t="b">
        <v>0</v>
      </c>
      <c r="D29" s="35">
        <v>6.0</v>
      </c>
      <c r="E29" s="35" t="str">
        <f t="shared" si="1"/>
        <v>Tuesday</v>
      </c>
      <c r="F29" s="62">
        <f>WORKDAY(B2, 26)</f>
        <v>45328</v>
      </c>
      <c r="G29" s="35" t="s">
        <v>18</v>
      </c>
      <c r="H29" s="37">
        <v>0.5</v>
      </c>
      <c r="I29" s="37">
        <v>0.5208333333333334</v>
      </c>
      <c r="J29" s="35"/>
      <c r="K29" s="35"/>
      <c r="L29" s="35" t="s">
        <v>22</v>
      </c>
      <c r="M29" s="35" t="s">
        <v>22</v>
      </c>
      <c r="N29" s="38"/>
      <c r="O29" s="41" t="s">
        <v>37</v>
      </c>
      <c r="P29" s="61"/>
    </row>
    <row r="30" ht="52.5" customHeight="1">
      <c r="A30" s="61"/>
      <c r="B30" s="25" t="s">
        <v>102</v>
      </c>
      <c r="C30" s="26" t="b">
        <v>0</v>
      </c>
      <c r="D30" s="27" t="s">
        <v>103</v>
      </c>
      <c r="E30" s="27" t="str">
        <f t="shared" si="1"/>
        <v>Wednesday</v>
      </c>
      <c r="F30" s="28">
        <f>WORKDAY(B2, 42)</f>
        <v>45350</v>
      </c>
      <c r="G30" s="27" t="s">
        <v>18</v>
      </c>
      <c r="H30" s="49">
        <v>0.5</v>
      </c>
      <c r="I30" s="29">
        <v>0.5208333333333334</v>
      </c>
      <c r="J30" s="27"/>
      <c r="K30" s="27"/>
      <c r="L30" s="27" t="s">
        <v>22</v>
      </c>
      <c r="M30" s="27" t="s">
        <v>22</v>
      </c>
      <c r="N30" s="27" t="s">
        <v>22</v>
      </c>
      <c r="O30" s="33" t="s">
        <v>23</v>
      </c>
      <c r="P30" s="61"/>
    </row>
    <row r="31" ht="52.5" customHeight="1">
      <c r="A31" s="61"/>
      <c r="B31" s="34" t="s">
        <v>104</v>
      </c>
      <c r="C31" s="18" t="b">
        <v>0</v>
      </c>
      <c r="D31" s="35" t="s">
        <v>103</v>
      </c>
      <c r="E31" s="35" t="str">
        <f t="shared" si="1"/>
        <v>Wednesday</v>
      </c>
      <c r="F31" s="36">
        <f>WORKDAY(B2, 42)</f>
        <v>45350</v>
      </c>
      <c r="G31" s="35" t="s">
        <v>18</v>
      </c>
      <c r="H31" s="63">
        <v>0.5</v>
      </c>
      <c r="I31" s="37">
        <v>0.5208333333333334</v>
      </c>
      <c r="J31" s="35"/>
      <c r="K31" s="35"/>
      <c r="L31" s="35" t="s">
        <v>22</v>
      </c>
      <c r="M31" s="35" t="s">
        <v>22</v>
      </c>
      <c r="N31" s="38"/>
      <c r="O31" s="41" t="s">
        <v>23</v>
      </c>
      <c r="P31" s="61"/>
    </row>
    <row r="32" ht="52.5" customHeight="1">
      <c r="A32" s="61"/>
      <c r="B32" s="64" t="s">
        <v>105</v>
      </c>
      <c r="C32" s="26" t="b">
        <v>0</v>
      </c>
      <c r="D32" s="65" t="s">
        <v>103</v>
      </c>
      <c r="E32" s="65" t="str">
        <f t="shared" si="1"/>
        <v>Thursday</v>
      </c>
      <c r="F32" s="66">
        <f>WORKDAY(B2,63)</f>
        <v>45379</v>
      </c>
      <c r="G32" s="65" t="s">
        <v>18</v>
      </c>
      <c r="H32" s="67">
        <v>0.5</v>
      </c>
      <c r="I32" s="68">
        <v>0.5208333333333334</v>
      </c>
      <c r="J32" s="65"/>
      <c r="K32" s="65"/>
      <c r="L32" s="65" t="s">
        <v>22</v>
      </c>
      <c r="M32" s="65" t="s">
        <v>22</v>
      </c>
      <c r="N32" s="65" t="s">
        <v>22</v>
      </c>
      <c r="O32" s="69" t="s">
        <v>23</v>
      </c>
      <c r="P32" s="61"/>
    </row>
    <row r="33">
      <c r="A33" s="3"/>
      <c r="B33" s="3"/>
      <c r="C33" s="2"/>
      <c r="D33" s="3"/>
      <c r="E33" s="70"/>
      <c r="F33" s="70"/>
      <c r="G33" s="71"/>
      <c r="H33" s="71"/>
      <c r="I33" s="71"/>
      <c r="J33" s="3"/>
      <c r="K33" s="3"/>
      <c r="L33" s="72"/>
      <c r="M33" s="3"/>
      <c r="N33" s="3"/>
      <c r="O33" s="3"/>
      <c r="P33" s="3"/>
    </row>
  </sheetData>
  <mergeCells count="1">
    <mergeCell ref="D3:O3"/>
  </mergeCells>
  <hyperlinks>
    <hyperlink r:id="rId4" ref="B3"/>
    <hyperlink r:id="rId5" location="slide=id.gf32bf9945b_0_954" ref="M6"/>
    <hyperlink r:id="rId6" ref="M7"/>
    <hyperlink r:id="rId7" ref="M8"/>
    <hyperlink r:id="rId8" location="Trafficking101-IAS" ref="L9"/>
    <hyperlink r:id="rId9" ref="M9"/>
    <hyperlink r:id="rId10" location="slide=id.gd0b4d203b3_0_21" ref="M10"/>
    <hyperlink r:id="rId11" ref="N10"/>
    <hyperlink r:id="rId12" location="slide=id.g2c6c71b5974_2_458" ref="M11"/>
    <hyperlink r:id="rId13" ref="M14"/>
    <hyperlink r:id="rId14" ref="N14"/>
    <hyperlink r:id="rId15" location="gid=2144868993" ref="M15"/>
    <hyperlink r:id="rId16" ref="M17"/>
    <hyperlink r:id="rId17" ref="M18"/>
    <hyperlink r:id="rId18" ref="N19"/>
    <hyperlink r:id="rId19" location="gid=1399114443" ref="M20"/>
    <hyperlink r:id="rId20" ref="L22"/>
    <hyperlink r:id="rId21" ref="M22"/>
    <hyperlink r:id="rId22" ref="M23"/>
    <hyperlink r:id="rId23" ref="N23"/>
    <hyperlink r:id="rId24" ref="M24"/>
    <hyperlink r:id="rId25" ref="N24"/>
    <hyperlink r:id="rId26" ref="M25"/>
    <hyperlink r:id="rId27" ref="N25"/>
    <hyperlink r:id="rId28" location="slide=id.g2c6c71b5974_2_22" ref="M27"/>
  </hyperlinks>
  <drawing r:id="rId29"/>
  <legacy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5.13"/>
    <col customWidth="1" min="5" max="9" width="8.88"/>
    <col customWidth="1" min="12" max="12" width="43.88"/>
    <col customWidth="1" min="13" max="13" width="27.38"/>
    <col customWidth="1" min="14" max="14" width="24.38"/>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45691.0</v>
      </c>
      <c r="C2" s="2"/>
      <c r="D2" s="3"/>
      <c r="E2" s="4"/>
      <c r="F2" s="4"/>
      <c r="G2" s="4"/>
      <c r="H2" s="4"/>
      <c r="I2" s="4"/>
      <c r="J2" s="1"/>
      <c r="K2" s="1"/>
      <c r="L2" s="5"/>
      <c r="M2" s="1"/>
      <c r="N2" s="1"/>
      <c r="O2" s="1"/>
      <c r="P2" s="1"/>
    </row>
    <row r="3">
      <c r="A3" s="1"/>
      <c r="B3" s="7" t="s">
        <v>106</v>
      </c>
      <c r="C3" s="8"/>
      <c r="D3" s="9" t="s">
        <v>2</v>
      </c>
      <c r="E3" s="10"/>
      <c r="F3" s="10"/>
      <c r="G3" s="10"/>
      <c r="H3" s="10"/>
      <c r="I3" s="10"/>
      <c r="J3" s="10"/>
      <c r="K3" s="10"/>
      <c r="L3" s="10"/>
      <c r="M3" s="10"/>
      <c r="N3" s="10"/>
      <c r="O3" s="11"/>
      <c r="P3" s="1"/>
    </row>
    <row r="4">
      <c r="A4" s="1"/>
      <c r="B4" s="73" t="s">
        <v>3</v>
      </c>
      <c r="C4" s="74" t="s">
        <v>4</v>
      </c>
      <c r="D4" s="75" t="s">
        <v>5</v>
      </c>
      <c r="E4" s="75" t="s">
        <v>6</v>
      </c>
      <c r="F4" s="75" t="s">
        <v>7</v>
      </c>
      <c r="G4" s="75" t="s">
        <v>8</v>
      </c>
      <c r="H4" s="75" t="s">
        <v>9</v>
      </c>
      <c r="I4" s="75" t="s">
        <v>10</v>
      </c>
      <c r="J4" s="73" t="s">
        <v>11</v>
      </c>
      <c r="K4" s="73" t="s">
        <v>12</v>
      </c>
      <c r="L4" s="76" t="s">
        <v>13</v>
      </c>
      <c r="M4" s="73" t="s">
        <v>14</v>
      </c>
      <c r="N4" s="73" t="s">
        <v>15</v>
      </c>
      <c r="O4" s="73" t="s">
        <v>16</v>
      </c>
      <c r="P4" s="1"/>
    </row>
    <row r="5" ht="52.5" customHeight="1">
      <c r="A5" s="16"/>
      <c r="B5" s="77" t="s">
        <v>17</v>
      </c>
      <c r="C5" s="78" t="b">
        <v>1</v>
      </c>
      <c r="D5" s="79">
        <v>1.0</v>
      </c>
      <c r="E5" s="79" t="str">
        <f t="shared" ref="E5:E32" si="1">TEXT(F5, "dddd")</f>
        <v>Monday</v>
      </c>
      <c r="F5" s="80">
        <f>B2</f>
        <v>45691</v>
      </c>
      <c r="G5" s="79" t="s">
        <v>18</v>
      </c>
      <c r="H5" s="81">
        <v>0.5</v>
      </c>
      <c r="I5" s="81">
        <v>0.5208333333333334</v>
      </c>
      <c r="J5" s="79" t="s">
        <v>107</v>
      </c>
      <c r="K5" s="79" t="s">
        <v>108</v>
      </c>
      <c r="L5" s="82" t="s">
        <v>109</v>
      </c>
      <c r="M5" s="79" t="s">
        <v>21</v>
      </c>
      <c r="N5" s="79" t="s">
        <v>22</v>
      </c>
      <c r="O5" s="79" t="s">
        <v>23</v>
      </c>
      <c r="P5" s="16"/>
    </row>
    <row r="6" ht="52.5" customHeight="1">
      <c r="A6" s="16"/>
      <c r="B6" s="83" t="s">
        <v>24</v>
      </c>
      <c r="C6" s="84" t="b">
        <v>1</v>
      </c>
      <c r="D6" s="85">
        <v>1.0</v>
      </c>
      <c r="E6" s="85" t="str">
        <f t="shared" si="1"/>
        <v>Tuesday</v>
      </c>
      <c r="F6" s="86">
        <f>WORKDAY(B2, 1)</f>
        <v>45692</v>
      </c>
      <c r="G6" s="85" t="s">
        <v>18</v>
      </c>
      <c r="H6" s="87">
        <v>0.5</v>
      </c>
      <c r="I6" s="87">
        <v>0.5208333333333334</v>
      </c>
      <c r="J6" s="85" t="s">
        <v>110</v>
      </c>
      <c r="K6" s="85" t="s">
        <v>111</v>
      </c>
      <c r="L6" s="88" t="s">
        <v>25</v>
      </c>
      <c r="M6" s="89" t="s">
        <v>26</v>
      </c>
      <c r="N6" s="85" t="s">
        <v>22</v>
      </c>
      <c r="O6" s="85" t="s">
        <v>23</v>
      </c>
      <c r="P6" s="16"/>
    </row>
    <row r="7" ht="52.5" customHeight="1">
      <c r="A7" s="16"/>
      <c r="B7" s="77" t="s">
        <v>27</v>
      </c>
      <c r="C7" s="78" t="b">
        <v>1</v>
      </c>
      <c r="D7" s="79">
        <v>1.0</v>
      </c>
      <c r="E7" s="79" t="str">
        <f t="shared" si="1"/>
        <v>Wednesday</v>
      </c>
      <c r="F7" s="80">
        <f>WORKDAY(B2, 2)</f>
        <v>45693</v>
      </c>
      <c r="G7" s="79" t="s">
        <v>18</v>
      </c>
      <c r="H7" s="81">
        <v>0.5416666666666666</v>
      </c>
      <c r="I7" s="81">
        <v>0.5625</v>
      </c>
      <c r="J7" s="79" t="s">
        <v>112</v>
      </c>
      <c r="K7" s="79" t="s">
        <v>107</v>
      </c>
      <c r="L7" s="90" t="s">
        <v>28</v>
      </c>
      <c r="M7" s="91" t="s">
        <v>113</v>
      </c>
      <c r="N7" s="79" t="s">
        <v>22</v>
      </c>
      <c r="O7" s="79" t="s">
        <v>23</v>
      </c>
      <c r="P7" s="16"/>
    </row>
    <row r="8" ht="52.5" customHeight="1">
      <c r="A8" s="16"/>
      <c r="B8" s="83" t="s">
        <v>30</v>
      </c>
      <c r="C8" s="84" t="b">
        <v>1</v>
      </c>
      <c r="D8" s="85">
        <v>2.0</v>
      </c>
      <c r="E8" s="85" t="str">
        <f t="shared" si="1"/>
        <v>Monday</v>
      </c>
      <c r="F8" s="86">
        <f>WORKDAY(B2, 5)</f>
        <v>45698</v>
      </c>
      <c r="G8" s="85" t="s">
        <v>18</v>
      </c>
      <c r="H8" s="87">
        <v>0.5</v>
      </c>
      <c r="I8" s="87">
        <v>0.5208333333333334</v>
      </c>
      <c r="J8" s="85" t="s">
        <v>31</v>
      </c>
      <c r="K8" s="92"/>
      <c r="L8" s="88" t="s">
        <v>32</v>
      </c>
      <c r="M8" s="89" t="s">
        <v>33</v>
      </c>
      <c r="N8" s="85" t="s">
        <v>22</v>
      </c>
      <c r="O8" s="85" t="s">
        <v>23</v>
      </c>
      <c r="P8" s="16"/>
    </row>
    <row r="9" ht="52.5" customHeight="1">
      <c r="A9" s="16"/>
      <c r="B9" s="77" t="s">
        <v>34</v>
      </c>
      <c r="C9" s="78" t="b">
        <v>1</v>
      </c>
      <c r="D9" s="79">
        <v>2.0</v>
      </c>
      <c r="E9" s="79" t="str">
        <f t="shared" si="1"/>
        <v>Tuesday</v>
      </c>
      <c r="F9" s="80">
        <f>WORKDAY(B2, 6)</f>
        <v>45699</v>
      </c>
      <c r="G9" s="79" t="s">
        <v>18</v>
      </c>
      <c r="H9" s="81">
        <v>0.5</v>
      </c>
      <c r="I9" s="81">
        <v>0.5208333333333334</v>
      </c>
      <c r="J9" s="79" t="s">
        <v>114</v>
      </c>
      <c r="K9" s="79" t="s">
        <v>115</v>
      </c>
      <c r="L9" s="93" t="s">
        <v>116</v>
      </c>
      <c r="M9" s="91" t="s">
        <v>36</v>
      </c>
      <c r="N9" s="79" t="s">
        <v>22</v>
      </c>
      <c r="O9" s="79" t="s">
        <v>37</v>
      </c>
      <c r="P9" s="16"/>
    </row>
    <row r="10" ht="52.5" customHeight="1">
      <c r="A10" s="16"/>
      <c r="B10" s="83" t="s">
        <v>38</v>
      </c>
      <c r="C10" s="84" t="b">
        <v>1</v>
      </c>
      <c r="D10" s="85">
        <v>2.0</v>
      </c>
      <c r="E10" s="85" t="str">
        <f t="shared" si="1"/>
        <v>Tuesday</v>
      </c>
      <c r="F10" s="86">
        <f>WORKDAY(B2, 6)</f>
        <v>45699</v>
      </c>
      <c r="G10" s="85" t="s">
        <v>39</v>
      </c>
      <c r="H10" s="87">
        <v>0.5208333333333334</v>
      </c>
      <c r="I10" s="87">
        <v>0.5625</v>
      </c>
      <c r="J10" s="85" t="s">
        <v>117</v>
      </c>
      <c r="K10" s="85" t="s">
        <v>112</v>
      </c>
      <c r="L10" s="88" t="s">
        <v>40</v>
      </c>
      <c r="M10" s="32" t="s">
        <v>41</v>
      </c>
      <c r="N10" s="32" t="s">
        <v>42</v>
      </c>
      <c r="O10" s="94" t="s">
        <v>37</v>
      </c>
      <c r="P10" s="16"/>
    </row>
    <row r="11" ht="52.5" customHeight="1">
      <c r="A11" s="16"/>
      <c r="B11" s="77" t="s">
        <v>43</v>
      </c>
      <c r="C11" s="78" t="b">
        <v>1</v>
      </c>
      <c r="D11" s="79">
        <v>2.0</v>
      </c>
      <c r="E11" s="79" t="str">
        <f t="shared" si="1"/>
        <v>Wednesday</v>
      </c>
      <c r="F11" s="80">
        <f>WORKDAY(B2, 7)</f>
        <v>45700</v>
      </c>
      <c r="G11" s="79" t="s">
        <v>18</v>
      </c>
      <c r="H11" s="81">
        <v>0.5</v>
      </c>
      <c r="I11" s="81">
        <v>0.5208333333333334</v>
      </c>
      <c r="J11" s="79" t="s">
        <v>118</v>
      </c>
      <c r="K11" s="95"/>
      <c r="L11" s="90" t="s">
        <v>44</v>
      </c>
      <c r="M11" s="91" t="s">
        <v>45</v>
      </c>
      <c r="N11" s="79" t="s">
        <v>22</v>
      </c>
      <c r="O11" s="79" t="s">
        <v>23</v>
      </c>
      <c r="P11" s="16"/>
    </row>
    <row r="12" ht="52.5" customHeight="1">
      <c r="A12" s="16"/>
      <c r="B12" s="83" t="s">
        <v>46</v>
      </c>
      <c r="C12" s="84" t="b">
        <v>1</v>
      </c>
      <c r="D12" s="85">
        <v>2.0</v>
      </c>
      <c r="E12" s="85" t="str">
        <f t="shared" si="1"/>
        <v>Wednesday</v>
      </c>
      <c r="F12" s="86">
        <f>WORKDAY(B2, 7)</f>
        <v>45700</v>
      </c>
      <c r="G12" s="85" t="s">
        <v>18</v>
      </c>
      <c r="H12" s="87">
        <v>0.5208333333333334</v>
      </c>
      <c r="I12" s="87">
        <v>0.5416666666666666</v>
      </c>
      <c r="J12" s="85" t="s">
        <v>119</v>
      </c>
      <c r="K12" s="92"/>
      <c r="L12" s="88" t="s">
        <v>47</v>
      </c>
      <c r="M12" s="85" t="s">
        <v>22</v>
      </c>
      <c r="N12" s="85" t="s">
        <v>22</v>
      </c>
      <c r="O12" s="85" t="s">
        <v>23</v>
      </c>
      <c r="P12" s="16"/>
    </row>
    <row r="13" ht="52.5" customHeight="1">
      <c r="A13" s="16"/>
      <c r="B13" s="77" t="s">
        <v>48</v>
      </c>
      <c r="C13" s="78" t="b">
        <v>1</v>
      </c>
      <c r="D13" s="79">
        <v>3.0</v>
      </c>
      <c r="E13" s="79" t="str">
        <f t="shared" si="1"/>
        <v>Tuesday</v>
      </c>
      <c r="F13" s="80">
        <f>WORKDAY(B2, 11)</f>
        <v>45706</v>
      </c>
      <c r="G13" s="79" t="s">
        <v>39</v>
      </c>
      <c r="H13" s="81">
        <v>0.5</v>
      </c>
      <c r="I13" s="81">
        <v>0.5416666666666666</v>
      </c>
      <c r="J13" s="79" t="s">
        <v>117</v>
      </c>
      <c r="K13" s="79" t="s">
        <v>112</v>
      </c>
      <c r="L13" s="90" t="s">
        <v>49</v>
      </c>
      <c r="M13" s="79" t="s">
        <v>22</v>
      </c>
      <c r="N13" s="79" t="s">
        <v>22</v>
      </c>
      <c r="O13" s="79" t="s">
        <v>50</v>
      </c>
      <c r="P13" s="16"/>
    </row>
    <row r="14" ht="52.5" customHeight="1">
      <c r="A14" s="16"/>
      <c r="B14" s="83" t="s">
        <v>51</v>
      </c>
      <c r="C14" s="84" t="b">
        <v>1</v>
      </c>
      <c r="D14" s="85">
        <v>3.0</v>
      </c>
      <c r="E14" s="85" t="str">
        <f t="shared" si="1"/>
        <v>Wednesday</v>
      </c>
      <c r="F14" s="86">
        <f>WORKDAY(B2, 12)</f>
        <v>45707</v>
      </c>
      <c r="G14" s="85" t="s">
        <v>18</v>
      </c>
      <c r="H14" s="87">
        <v>0.4583333333333333</v>
      </c>
      <c r="I14" s="87">
        <v>0.5</v>
      </c>
      <c r="J14" s="85" t="s">
        <v>112</v>
      </c>
      <c r="K14" s="85" t="s">
        <v>120</v>
      </c>
      <c r="L14" s="88" t="s">
        <v>52</v>
      </c>
      <c r="M14" s="32" t="s">
        <v>53</v>
      </c>
      <c r="N14" s="32" t="s">
        <v>42</v>
      </c>
      <c r="O14" s="94" t="s">
        <v>50</v>
      </c>
      <c r="P14" s="16"/>
    </row>
    <row r="15" ht="52.5" customHeight="1">
      <c r="A15" s="16"/>
      <c r="B15" s="77" t="s">
        <v>54</v>
      </c>
      <c r="C15" s="78" t="b">
        <v>1</v>
      </c>
      <c r="D15" s="79">
        <v>3.0</v>
      </c>
      <c r="E15" s="79" t="str">
        <f t="shared" si="1"/>
        <v>Wednesday</v>
      </c>
      <c r="F15" s="80">
        <f>WORKDAY(B2, 12)</f>
        <v>45707</v>
      </c>
      <c r="G15" s="79" t="s">
        <v>18</v>
      </c>
      <c r="H15" s="81">
        <v>0.5416666666666666</v>
      </c>
      <c r="I15" s="81">
        <v>0.5625</v>
      </c>
      <c r="J15" s="79" t="s">
        <v>107</v>
      </c>
      <c r="K15" s="79" t="s">
        <v>121</v>
      </c>
      <c r="L15" s="90" t="s">
        <v>55</v>
      </c>
      <c r="M15" s="91" t="s">
        <v>122</v>
      </c>
      <c r="N15" s="79" t="s">
        <v>57</v>
      </c>
      <c r="O15" s="79" t="s">
        <v>50</v>
      </c>
      <c r="P15" s="16"/>
    </row>
    <row r="16" ht="52.5" customHeight="1">
      <c r="A16" s="16"/>
      <c r="B16" s="83" t="s">
        <v>58</v>
      </c>
      <c r="C16" s="84" t="b">
        <v>1</v>
      </c>
      <c r="D16" s="85">
        <v>3.0</v>
      </c>
      <c r="E16" s="85" t="str">
        <f t="shared" si="1"/>
        <v>Thursday</v>
      </c>
      <c r="F16" s="86">
        <f>WORKDAY(B2, 13)</f>
        <v>45708</v>
      </c>
      <c r="G16" s="85" t="s">
        <v>18</v>
      </c>
      <c r="H16" s="87">
        <v>0.5</v>
      </c>
      <c r="I16" s="87">
        <v>0.5208333333333334</v>
      </c>
      <c r="J16" s="85" t="s">
        <v>107</v>
      </c>
      <c r="K16" s="92"/>
      <c r="L16" s="88" t="s">
        <v>59</v>
      </c>
      <c r="M16" s="94" t="s">
        <v>22</v>
      </c>
      <c r="N16" s="85" t="s">
        <v>22</v>
      </c>
      <c r="O16" s="85" t="s">
        <v>23</v>
      </c>
      <c r="P16" s="16"/>
    </row>
    <row r="17" ht="52.5" customHeight="1">
      <c r="A17" s="16"/>
      <c r="B17" s="77" t="s">
        <v>60</v>
      </c>
      <c r="C17" s="78" t="b">
        <v>1</v>
      </c>
      <c r="D17" s="79">
        <v>4.0</v>
      </c>
      <c r="E17" s="79" t="str">
        <f t="shared" si="1"/>
        <v>Monday</v>
      </c>
      <c r="F17" s="80">
        <f>WORKDAY(B2, 15)</f>
        <v>45712</v>
      </c>
      <c r="G17" s="79" t="s">
        <v>18</v>
      </c>
      <c r="H17" s="81">
        <v>0.6041666666666666</v>
      </c>
      <c r="I17" s="81">
        <v>0.625</v>
      </c>
      <c r="J17" s="79" t="s">
        <v>123</v>
      </c>
      <c r="K17" s="79" t="s">
        <v>124</v>
      </c>
      <c r="L17" s="90" t="s">
        <v>61</v>
      </c>
      <c r="M17" s="91" t="s">
        <v>125</v>
      </c>
      <c r="N17" s="79" t="s">
        <v>22</v>
      </c>
      <c r="O17" s="79" t="s">
        <v>37</v>
      </c>
      <c r="P17" s="16"/>
    </row>
    <row r="18" ht="52.5" customHeight="1">
      <c r="A18" s="16"/>
      <c r="B18" s="83" t="s">
        <v>63</v>
      </c>
      <c r="C18" s="84" t="b">
        <v>1</v>
      </c>
      <c r="D18" s="85">
        <v>4.0</v>
      </c>
      <c r="E18" s="85" t="str">
        <f t="shared" si="1"/>
        <v>Tuesday</v>
      </c>
      <c r="F18" s="86">
        <f>WORKDAY(B2, 16)</f>
        <v>45713</v>
      </c>
      <c r="G18" s="85" t="s">
        <v>18</v>
      </c>
      <c r="H18" s="87">
        <v>0.5</v>
      </c>
      <c r="I18" s="87">
        <v>0.5208333333333334</v>
      </c>
      <c r="J18" s="85" t="s">
        <v>126</v>
      </c>
      <c r="K18" s="85" t="s">
        <v>127</v>
      </c>
      <c r="L18" s="88" t="s">
        <v>64</v>
      </c>
      <c r="M18" s="96" t="s">
        <v>65</v>
      </c>
      <c r="N18" s="85" t="s">
        <v>22</v>
      </c>
      <c r="O18" s="85" t="s">
        <v>66</v>
      </c>
      <c r="P18" s="16"/>
    </row>
    <row r="19" ht="52.5" customHeight="1">
      <c r="A19" s="16"/>
      <c r="B19" s="77" t="s">
        <v>67</v>
      </c>
      <c r="C19" s="78" t="b">
        <v>1</v>
      </c>
      <c r="D19" s="79">
        <v>4.0</v>
      </c>
      <c r="E19" s="79" t="str">
        <f t="shared" si="1"/>
        <v>Tuesday</v>
      </c>
      <c r="F19" s="80">
        <f>WORKDAY(B2, 16)</f>
        <v>45713</v>
      </c>
      <c r="G19" s="79" t="s">
        <v>68</v>
      </c>
      <c r="H19" s="81">
        <v>0.5208333333333334</v>
      </c>
      <c r="I19" s="81">
        <v>0.5520833333333334</v>
      </c>
      <c r="J19" s="79" t="s">
        <v>126</v>
      </c>
      <c r="K19" s="79" t="s">
        <v>128</v>
      </c>
      <c r="L19" s="90" t="s">
        <v>69</v>
      </c>
      <c r="M19" s="97"/>
      <c r="N19" s="91" t="s">
        <v>129</v>
      </c>
      <c r="O19" s="97" t="s">
        <v>66</v>
      </c>
      <c r="P19" s="16"/>
    </row>
    <row r="20" ht="52.5" customHeight="1">
      <c r="A20" s="16"/>
      <c r="B20" s="83" t="s">
        <v>71</v>
      </c>
      <c r="C20" s="84" t="b">
        <v>1</v>
      </c>
      <c r="D20" s="85">
        <v>4.0</v>
      </c>
      <c r="E20" s="85" t="str">
        <f t="shared" si="1"/>
        <v>Wednesday</v>
      </c>
      <c r="F20" s="86">
        <f>WORKDAY(B2, 17)</f>
        <v>45714</v>
      </c>
      <c r="G20" s="85" t="s">
        <v>18</v>
      </c>
      <c r="H20" s="87">
        <v>0.5</v>
      </c>
      <c r="I20" s="87">
        <v>0.5208333333333334</v>
      </c>
      <c r="J20" s="85" t="s">
        <v>107</v>
      </c>
      <c r="K20" s="85" t="s">
        <v>94</v>
      </c>
      <c r="L20" s="88" t="s">
        <v>72</v>
      </c>
      <c r="M20" s="96" t="s">
        <v>73</v>
      </c>
      <c r="N20" s="94" t="s">
        <v>22</v>
      </c>
      <c r="O20" s="94" t="s">
        <v>23</v>
      </c>
      <c r="P20" s="16"/>
    </row>
    <row r="21" ht="52.5" customHeight="1">
      <c r="A21" s="16"/>
      <c r="B21" s="77" t="s">
        <v>74</v>
      </c>
      <c r="C21" s="78" t="b">
        <v>1</v>
      </c>
      <c r="D21" s="79">
        <v>4.0</v>
      </c>
      <c r="E21" s="79" t="str">
        <f t="shared" si="1"/>
        <v>Thursday</v>
      </c>
      <c r="F21" s="80">
        <f>WORKDAY(B2, 18)</f>
        <v>45715</v>
      </c>
      <c r="G21" s="79" t="s">
        <v>39</v>
      </c>
      <c r="H21" s="81">
        <v>0.5833333333333334</v>
      </c>
      <c r="I21" s="98">
        <v>0.625</v>
      </c>
      <c r="J21" s="79" t="s">
        <v>112</v>
      </c>
      <c r="K21" s="79" t="s">
        <v>115</v>
      </c>
      <c r="L21" s="79" t="s">
        <v>75</v>
      </c>
      <c r="M21" s="97" t="s">
        <v>22</v>
      </c>
      <c r="N21" s="97" t="s">
        <v>22</v>
      </c>
      <c r="O21" s="97" t="s">
        <v>50</v>
      </c>
      <c r="P21" s="16"/>
    </row>
    <row r="22" ht="52.5" customHeight="1">
      <c r="A22" s="16"/>
      <c r="B22" s="83" t="s">
        <v>76</v>
      </c>
      <c r="C22" s="84" t="b">
        <v>1</v>
      </c>
      <c r="D22" s="85">
        <v>5.0</v>
      </c>
      <c r="E22" s="85" t="str">
        <f t="shared" si="1"/>
        <v>Monday</v>
      </c>
      <c r="F22" s="86">
        <f>WORKDAY(B2, 20)</f>
        <v>45719</v>
      </c>
      <c r="G22" s="85" t="s">
        <v>18</v>
      </c>
      <c r="H22" s="87">
        <v>0.5</v>
      </c>
      <c r="I22" s="87">
        <v>0.5208333333333334</v>
      </c>
      <c r="J22" s="85" t="s">
        <v>114</v>
      </c>
      <c r="K22" s="85" t="s">
        <v>130</v>
      </c>
      <c r="L22" s="99" t="s">
        <v>131</v>
      </c>
      <c r="M22" s="89" t="s">
        <v>78</v>
      </c>
      <c r="N22" s="94" t="s">
        <v>22</v>
      </c>
      <c r="O22" s="94" t="s">
        <v>37</v>
      </c>
      <c r="P22" s="16"/>
    </row>
    <row r="23" ht="52.5" customHeight="1">
      <c r="A23" s="16"/>
      <c r="B23" s="77" t="s">
        <v>132</v>
      </c>
      <c r="C23" s="78" t="b">
        <v>1</v>
      </c>
      <c r="D23" s="79">
        <v>5.0</v>
      </c>
      <c r="E23" s="79" t="str">
        <f t="shared" si="1"/>
        <v>Tuesday</v>
      </c>
      <c r="F23" s="80">
        <f>WORKDAY(B2, 21)</f>
        <v>45720</v>
      </c>
      <c r="G23" s="79" t="s">
        <v>39</v>
      </c>
      <c r="H23" s="81">
        <v>0.5</v>
      </c>
      <c r="I23" s="81">
        <v>0.5416666666666666</v>
      </c>
      <c r="J23" s="79" t="s">
        <v>107</v>
      </c>
      <c r="K23" s="79" t="s">
        <v>94</v>
      </c>
      <c r="L23" s="90" t="s">
        <v>80</v>
      </c>
      <c r="M23" s="91" t="s">
        <v>81</v>
      </c>
      <c r="N23" s="91" t="s">
        <v>133</v>
      </c>
      <c r="O23" s="97" t="s">
        <v>37</v>
      </c>
      <c r="P23" s="16"/>
    </row>
    <row r="24" ht="52.5" customHeight="1">
      <c r="A24" s="16"/>
      <c r="B24" s="83" t="s">
        <v>83</v>
      </c>
      <c r="C24" s="84" t="b">
        <v>1</v>
      </c>
      <c r="D24" s="85">
        <v>5.0</v>
      </c>
      <c r="E24" s="85" t="str">
        <f t="shared" si="1"/>
        <v>Wednesday</v>
      </c>
      <c r="F24" s="86">
        <f>WORKDAY(B2, 22)</f>
        <v>45721</v>
      </c>
      <c r="G24" s="85" t="s">
        <v>39</v>
      </c>
      <c r="H24" s="87">
        <v>0.5</v>
      </c>
      <c r="I24" s="87">
        <v>0.5416666666666666</v>
      </c>
      <c r="J24" s="85" t="s">
        <v>117</v>
      </c>
      <c r="K24" s="85" t="s">
        <v>120</v>
      </c>
      <c r="L24" s="88" t="s">
        <v>84</v>
      </c>
      <c r="M24" s="89" t="s">
        <v>85</v>
      </c>
      <c r="N24" s="89" t="s">
        <v>134</v>
      </c>
      <c r="O24" s="94" t="s">
        <v>37</v>
      </c>
      <c r="P24" s="16"/>
    </row>
    <row r="25" ht="52.5" customHeight="1">
      <c r="A25" s="16"/>
      <c r="B25" s="77" t="s">
        <v>87</v>
      </c>
      <c r="C25" s="78" t="b">
        <v>1</v>
      </c>
      <c r="D25" s="79">
        <v>5.0</v>
      </c>
      <c r="E25" s="79" t="str">
        <f t="shared" si="1"/>
        <v>Thursday</v>
      </c>
      <c r="F25" s="80">
        <f>WORKDAY(B2, 23)</f>
        <v>45722</v>
      </c>
      <c r="G25" s="79" t="s">
        <v>39</v>
      </c>
      <c r="H25" s="81">
        <v>0.5</v>
      </c>
      <c r="I25" s="81">
        <v>0.5416666666666666</v>
      </c>
      <c r="J25" s="79" t="s">
        <v>107</v>
      </c>
      <c r="K25" s="79" t="s">
        <v>110</v>
      </c>
      <c r="L25" s="90" t="s">
        <v>88</v>
      </c>
      <c r="M25" s="91" t="s">
        <v>89</v>
      </c>
      <c r="N25" s="91" t="s">
        <v>42</v>
      </c>
      <c r="O25" s="97" t="s">
        <v>37</v>
      </c>
      <c r="P25" s="16"/>
    </row>
    <row r="26" ht="52.5" customHeight="1">
      <c r="A26" s="16"/>
      <c r="B26" s="83" t="s">
        <v>90</v>
      </c>
      <c r="C26" s="84" t="b">
        <v>1</v>
      </c>
      <c r="D26" s="85">
        <v>5.0</v>
      </c>
      <c r="E26" s="85" t="str">
        <f t="shared" si="1"/>
        <v>Thursday</v>
      </c>
      <c r="F26" s="86">
        <f>WORKDAY(B2, 23)</f>
        <v>45722</v>
      </c>
      <c r="G26" s="85" t="s">
        <v>18</v>
      </c>
      <c r="H26" s="100">
        <v>0.5833333333333334</v>
      </c>
      <c r="I26" s="87">
        <v>0.6041666666666666</v>
      </c>
      <c r="J26" s="85" t="s">
        <v>126</v>
      </c>
      <c r="K26" s="92"/>
      <c r="L26" s="88" t="s">
        <v>91</v>
      </c>
      <c r="M26" s="85" t="s">
        <v>22</v>
      </c>
      <c r="N26" s="85" t="s">
        <v>22</v>
      </c>
      <c r="O26" s="85" t="s">
        <v>37</v>
      </c>
      <c r="P26" s="16"/>
    </row>
    <row r="27" ht="52.5" customHeight="1">
      <c r="A27" s="16"/>
      <c r="B27" s="101" t="s">
        <v>92</v>
      </c>
      <c r="C27" s="102" t="b">
        <v>0</v>
      </c>
      <c r="D27" s="103">
        <v>5.0</v>
      </c>
      <c r="E27" s="103" t="str">
        <f t="shared" si="1"/>
        <v>TBD</v>
      </c>
      <c r="F27" s="104" t="s">
        <v>93</v>
      </c>
      <c r="G27" s="103" t="s">
        <v>18</v>
      </c>
      <c r="H27" s="105" t="s">
        <v>93</v>
      </c>
      <c r="I27" s="106" t="s">
        <v>93</v>
      </c>
      <c r="J27" s="107"/>
      <c r="K27" s="108"/>
      <c r="L27" s="109" t="s">
        <v>96</v>
      </c>
      <c r="M27" s="110" t="s">
        <v>97</v>
      </c>
      <c r="N27" s="111"/>
      <c r="O27" s="103" t="s">
        <v>98</v>
      </c>
      <c r="P27" s="16"/>
    </row>
    <row r="28" ht="52.5" customHeight="1">
      <c r="A28" s="16"/>
      <c r="B28" s="83" t="s">
        <v>99</v>
      </c>
      <c r="C28" s="84" t="b">
        <v>1</v>
      </c>
      <c r="D28" s="85">
        <v>6.0</v>
      </c>
      <c r="E28" s="85" t="str">
        <f t="shared" si="1"/>
        <v>Tuesday</v>
      </c>
      <c r="F28" s="86">
        <f>WORKDAY(B2, 21)</f>
        <v>45720</v>
      </c>
      <c r="G28" s="85" t="s">
        <v>18</v>
      </c>
      <c r="H28" s="87">
        <v>0.5</v>
      </c>
      <c r="I28" s="87">
        <v>0.5208333333333334</v>
      </c>
      <c r="J28" s="85" t="s">
        <v>107</v>
      </c>
      <c r="K28" s="92"/>
      <c r="L28" s="85" t="s">
        <v>100</v>
      </c>
      <c r="M28" s="85" t="s">
        <v>22</v>
      </c>
      <c r="N28" s="85" t="s">
        <v>22</v>
      </c>
      <c r="O28" s="85" t="s">
        <v>23</v>
      </c>
      <c r="P28" s="16"/>
    </row>
    <row r="29" ht="52.5" customHeight="1">
      <c r="A29" s="61"/>
      <c r="B29" s="77" t="s">
        <v>101</v>
      </c>
      <c r="C29" s="78" t="b">
        <v>0</v>
      </c>
      <c r="D29" s="79">
        <v>6.0</v>
      </c>
      <c r="E29" s="79" t="str">
        <f t="shared" si="1"/>
        <v>Tuesday</v>
      </c>
      <c r="F29" s="112">
        <f>WORKDAY(B2, 26)</f>
        <v>45727</v>
      </c>
      <c r="G29" s="79" t="s">
        <v>18</v>
      </c>
      <c r="H29" s="81">
        <v>0.5</v>
      </c>
      <c r="I29" s="81">
        <v>0.5208333333333334</v>
      </c>
      <c r="J29" s="79" t="s">
        <v>126</v>
      </c>
      <c r="K29" s="79" t="s">
        <v>23</v>
      </c>
      <c r="L29" s="79" t="s">
        <v>22</v>
      </c>
      <c r="M29" s="79" t="s">
        <v>22</v>
      </c>
      <c r="N29" s="95"/>
      <c r="O29" s="79" t="s">
        <v>37</v>
      </c>
      <c r="P29" s="61"/>
    </row>
    <row r="30" ht="52.5" customHeight="1">
      <c r="A30" s="61"/>
      <c r="B30" s="83" t="s">
        <v>102</v>
      </c>
      <c r="C30" s="84" t="b">
        <v>0</v>
      </c>
      <c r="D30" s="85" t="s">
        <v>103</v>
      </c>
      <c r="E30" s="85" t="str">
        <f t="shared" si="1"/>
        <v>Wednesday</v>
      </c>
      <c r="F30" s="86">
        <f>WORKDAY(B2, 42)</f>
        <v>45749</v>
      </c>
      <c r="G30" s="85" t="s">
        <v>18</v>
      </c>
      <c r="H30" s="100">
        <v>0.5</v>
      </c>
      <c r="I30" s="87">
        <v>0.5208333333333334</v>
      </c>
      <c r="J30" s="85" t="s">
        <v>107</v>
      </c>
      <c r="K30" s="85"/>
      <c r="L30" s="85" t="s">
        <v>22</v>
      </c>
      <c r="M30" s="85" t="s">
        <v>22</v>
      </c>
      <c r="N30" s="85" t="s">
        <v>22</v>
      </c>
      <c r="O30" s="85" t="s">
        <v>23</v>
      </c>
      <c r="P30" s="61"/>
    </row>
    <row r="31" ht="52.5" customHeight="1">
      <c r="A31" s="61"/>
      <c r="B31" s="77" t="s">
        <v>104</v>
      </c>
      <c r="C31" s="78" t="b">
        <v>0</v>
      </c>
      <c r="D31" s="79" t="s">
        <v>103</v>
      </c>
      <c r="E31" s="79" t="str">
        <f t="shared" si="1"/>
        <v>Wednesday</v>
      </c>
      <c r="F31" s="80">
        <f>WORKDAY(B2, 42)</f>
        <v>45749</v>
      </c>
      <c r="G31" s="79" t="s">
        <v>18</v>
      </c>
      <c r="H31" s="98">
        <v>0.5</v>
      </c>
      <c r="I31" s="81">
        <v>0.5208333333333334</v>
      </c>
      <c r="J31" s="79" t="s">
        <v>107</v>
      </c>
      <c r="K31" s="79" t="s">
        <v>110</v>
      </c>
      <c r="L31" s="79" t="s">
        <v>22</v>
      </c>
      <c r="M31" s="79" t="s">
        <v>22</v>
      </c>
      <c r="N31" s="95"/>
      <c r="O31" s="79" t="s">
        <v>23</v>
      </c>
      <c r="P31" s="61"/>
    </row>
    <row r="32" ht="52.5" customHeight="1">
      <c r="A32" s="61"/>
      <c r="B32" s="83" t="s">
        <v>105</v>
      </c>
      <c r="C32" s="84" t="b">
        <v>0</v>
      </c>
      <c r="D32" s="85" t="s">
        <v>103</v>
      </c>
      <c r="E32" s="85" t="str">
        <f t="shared" si="1"/>
        <v>Thursday</v>
      </c>
      <c r="F32" s="86">
        <f>WORKDAY(B2,63)</f>
        <v>45778</v>
      </c>
      <c r="G32" s="85" t="s">
        <v>18</v>
      </c>
      <c r="H32" s="100">
        <v>0.5</v>
      </c>
      <c r="I32" s="87">
        <v>0.5208333333333334</v>
      </c>
      <c r="J32" s="85" t="s">
        <v>107</v>
      </c>
      <c r="K32" s="85"/>
      <c r="L32" s="85" t="s">
        <v>22</v>
      </c>
      <c r="M32" s="85" t="s">
        <v>22</v>
      </c>
      <c r="N32" s="85" t="s">
        <v>22</v>
      </c>
      <c r="O32" s="85" t="s">
        <v>23</v>
      </c>
      <c r="P32" s="61"/>
    </row>
    <row r="33" ht="52.5" customHeight="1">
      <c r="A33" s="61"/>
      <c r="B33" s="77" t="s">
        <v>135</v>
      </c>
      <c r="C33" s="78" t="b">
        <v>0</v>
      </c>
      <c r="D33" s="79"/>
      <c r="E33" s="79"/>
      <c r="F33" s="80"/>
      <c r="G33" s="79" t="s">
        <v>18</v>
      </c>
      <c r="H33" s="98"/>
      <c r="I33" s="81"/>
      <c r="J33" s="79"/>
      <c r="K33" s="79"/>
      <c r="L33" s="79"/>
      <c r="M33" s="79"/>
      <c r="N33" s="79"/>
      <c r="O33" s="97" t="s">
        <v>66</v>
      </c>
      <c r="P33" s="61"/>
    </row>
    <row r="34" ht="52.5" customHeight="1">
      <c r="A34" s="61"/>
      <c r="B34" s="83" t="s">
        <v>136</v>
      </c>
      <c r="C34" s="84" t="b">
        <v>0</v>
      </c>
      <c r="D34" s="85"/>
      <c r="E34" s="85"/>
      <c r="F34" s="86"/>
      <c r="G34" s="85" t="s">
        <v>18</v>
      </c>
      <c r="H34" s="100"/>
      <c r="I34" s="87"/>
      <c r="J34" s="85"/>
      <c r="K34" s="85"/>
      <c r="L34" s="85"/>
      <c r="M34" s="113" t="s">
        <v>137</v>
      </c>
      <c r="N34" s="85"/>
      <c r="O34" s="94" t="s">
        <v>66</v>
      </c>
      <c r="P34" s="61"/>
    </row>
    <row r="35">
      <c r="A35" s="3"/>
      <c r="B35" s="114"/>
      <c r="C35" s="115"/>
      <c r="D35" s="114"/>
      <c r="E35" s="116"/>
      <c r="F35" s="116"/>
      <c r="G35" s="117"/>
      <c r="H35" s="117"/>
      <c r="I35" s="117"/>
      <c r="J35" s="114"/>
      <c r="K35" s="114"/>
      <c r="L35" s="118"/>
      <c r="M35" s="114"/>
      <c r="N35" s="114"/>
      <c r="O35" s="114"/>
      <c r="P35" s="3"/>
    </row>
  </sheetData>
  <mergeCells count="1">
    <mergeCell ref="D3:O3"/>
  </mergeCells>
  <hyperlinks>
    <hyperlink r:id="rId1" ref="B3"/>
    <hyperlink r:id="rId2" location="slide=id.gf32bf9945b_0_954" ref="M6"/>
    <hyperlink r:id="rId3" ref="M7"/>
    <hyperlink r:id="rId4" ref="M8"/>
    <hyperlink r:id="rId5" location="Trafficking101-IAS" ref="L9"/>
    <hyperlink r:id="rId6" ref="M9"/>
    <hyperlink r:id="rId7" location="slide=id.gd0b4d203b3_0_21" ref="M10"/>
    <hyperlink r:id="rId8" ref="N10"/>
    <hyperlink r:id="rId9" location="slide=id.g2c6c71b5974_2_458" ref="M11"/>
    <hyperlink r:id="rId10" ref="M14"/>
    <hyperlink r:id="rId11" ref="N14"/>
    <hyperlink r:id="rId12" location="gid=2144868993" ref="M15"/>
    <hyperlink r:id="rId13" ref="M17"/>
    <hyperlink r:id="rId14" ref="M18"/>
    <hyperlink r:id="rId15" ref="N19"/>
    <hyperlink r:id="rId16" location="gid=1399114443" ref="M20"/>
    <hyperlink r:id="rId17" ref="L22"/>
    <hyperlink r:id="rId18" ref="M22"/>
    <hyperlink r:id="rId19" ref="M23"/>
    <hyperlink r:id="rId20" ref="N23"/>
    <hyperlink r:id="rId21" ref="M24"/>
    <hyperlink r:id="rId22" ref="N24"/>
    <hyperlink r:id="rId23" ref="M25"/>
    <hyperlink r:id="rId24" ref="N25"/>
    <hyperlink r:id="rId25" location="slide=id.g2c6c71b5974_2_22" ref="M27"/>
    <hyperlink r:id="rId26" ref="M34"/>
  </hyperlinks>
  <drawing r:id="rId2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24.38"/>
    <col customWidth="1" min="15" max="15" width="15.88"/>
    <col customWidth="1" min="16" max="16" width="4.13"/>
  </cols>
  <sheetData>
    <row r="1">
      <c r="A1" s="1" t="s">
        <v>138</v>
      </c>
      <c r="B1" s="1" t="s">
        <v>0</v>
      </c>
      <c r="C1" s="2"/>
      <c r="D1" s="3"/>
      <c r="E1" s="4"/>
      <c r="F1" s="4"/>
      <c r="G1" s="4"/>
      <c r="H1" s="4"/>
      <c r="I1" s="4"/>
      <c r="J1" s="1"/>
      <c r="K1" s="1"/>
      <c r="L1" s="5"/>
      <c r="M1" s="1"/>
      <c r="N1" s="1"/>
      <c r="O1" s="1"/>
      <c r="P1" s="1"/>
    </row>
    <row r="2">
      <c r="A2" s="1"/>
      <c r="B2" s="6">
        <v>46078.0</v>
      </c>
      <c r="C2" s="2"/>
      <c r="D2" s="3"/>
      <c r="E2" s="4"/>
      <c r="F2" s="4"/>
      <c r="G2" s="4"/>
      <c r="H2" s="4"/>
      <c r="I2" s="4"/>
      <c r="J2" s="1"/>
      <c r="K2" s="1"/>
      <c r="L2" s="5"/>
      <c r="M2" s="1"/>
      <c r="N2" s="1"/>
      <c r="O2" s="1"/>
      <c r="P2" s="1"/>
    </row>
    <row r="3">
      <c r="A3" s="1"/>
      <c r="B3" s="7" t="s">
        <v>139</v>
      </c>
      <c r="C3" s="8"/>
      <c r="D3" s="9" t="s">
        <v>140</v>
      </c>
      <c r="E3" s="10"/>
      <c r="F3" s="10"/>
      <c r="G3" s="10"/>
      <c r="H3" s="10"/>
      <c r="I3" s="10"/>
      <c r="J3" s="10"/>
      <c r="K3" s="10"/>
      <c r="L3" s="10"/>
      <c r="M3" s="10"/>
      <c r="N3" s="10"/>
      <c r="O3" s="11"/>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7" t="s">
        <v>17</v>
      </c>
      <c r="C5" s="18" t="b">
        <v>1</v>
      </c>
      <c r="D5" s="19">
        <v>1.0</v>
      </c>
      <c r="E5" s="19" t="str">
        <f t="shared" ref="E5:E25" si="1">TEXT(F5, "dddd")</f>
        <v>Wednesday</v>
      </c>
      <c r="F5" s="20">
        <v>46078.0</v>
      </c>
      <c r="G5" s="19" t="s">
        <v>18</v>
      </c>
      <c r="H5" s="21">
        <v>0.5</v>
      </c>
      <c r="I5" s="21">
        <v>0.5208333333333334</v>
      </c>
      <c r="J5" s="19" t="s">
        <v>19</v>
      </c>
      <c r="K5" s="22"/>
      <c r="L5" s="23" t="s">
        <v>20</v>
      </c>
      <c r="M5" s="19" t="s">
        <v>21</v>
      </c>
      <c r="N5" s="19" t="s">
        <v>22</v>
      </c>
      <c r="O5" s="24" t="s">
        <v>23</v>
      </c>
      <c r="P5" s="16"/>
    </row>
    <row r="6" ht="52.5" customHeight="1">
      <c r="A6" s="16"/>
      <c r="B6" s="25" t="s">
        <v>24</v>
      </c>
      <c r="C6" s="26" t="b">
        <v>1</v>
      </c>
      <c r="D6" s="27">
        <v>1.0</v>
      </c>
      <c r="E6" s="27" t="str">
        <f t="shared" si="1"/>
        <v>Friday</v>
      </c>
      <c r="F6" s="28">
        <v>46080.0</v>
      </c>
      <c r="G6" s="27" t="s">
        <v>18</v>
      </c>
      <c r="H6" s="29">
        <v>0.4791666666666667</v>
      </c>
      <c r="I6" s="29">
        <v>0.5</v>
      </c>
      <c r="J6" s="27" t="s">
        <v>141</v>
      </c>
      <c r="K6" s="30"/>
      <c r="L6" s="31" t="s">
        <v>25</v>
      </c>
      <c r="M6" s="32" t="s">
        <v>26</v>
      </c>
      <c r="N6" s="27" t="s">
        <v>22</v>
      </c>
      <c r="O6" s="33" t="s">
        <v>23</v>
      </c>
      <c r="P6" s="16"/>
    </row>
    <row r="7" ht="52.5" customHeight="1">
      <c r="A7" s="16"/>
      <c r="B7" s="34" t="s">
        <v>27</v>
      </c>
      <c r="C7" s="18" t="b">
        <v>1</v>
      </c>
      <c r="D7" s="35">
        <v>1.0</v>
      </c>
      <c r="E7" s="35" t="str">
        <f t="shared" si="1"/>
        <v>Friday</v>
      </c>
      <c r="F7" s="36">
        <v>46080.0</v>
      </c>
      <c r="G7" s="35" t="s">
        <v>18</v>
      </c>
      <c r="H7" s="37">
        <v>0.5833333333333334</v>
      </c>
      <c r="I7" s="37">
        <v>0.6041666666666666</v>
      </c>
      <c r="J7" s="35" t="s">
        <v>112</v>
      </c>
      <c r="K7" s="35"/>
      <c r="L7" s="39" t="s">
        <v>28</v>
      </c>
      <c r="M7" s="40" t="s">
        <v>142</v>
      </c>
      <c r="N7" s="35" t="s">
        <v>22</v>
      </c>
      <c r="O7" s="41" t="s">
        <v>23</v>
      </c>
      <c r="P7" s="16"/>
    </row>
    <row r="8" ht="52.5" customHeight="1">
      <c r="A8" s="16"/>
      <c r="B8" s="25" t="s">
        <v>30</v>
      </c>
      <c r="C8" s="26" t="b">
        <v>1</v>
      </c>
      <c r="D8" s="27">
        <v>2.0</v>
      </c>
      <c r="E8" s="27" t="str">
        <f t="shared" si="1"/>
        <v>Friday</v>
      </c>
      <c r="F8" s="28">
        <v>46080.0</v>
      </c>
      <c r="G8" s="27" t="s">
        <v>18</v>
      </c>
      <c r="H8" s="29">
        <v>0.5</v>
      </c>
      <c r="I8" s="29">
        <v>0.5208333333333334</v>
      </c>
      <c r="J8" s="27" t="s">
        <v>31</v>
      </c>
      <c r="K8" s="30"/>
      <c r="L8" s="31" t="s">
        <v>32</v>
      </c>
      <c r="M8" s="32" t="s">
        <v>33</v>
      </c>
      <c r="N8" s="27" t="s">
        <v>22</v>
      </c>
      <c r="O8" s="33" t="s">
        <v>23</v>
      </c>
      <c r="P8" s="16"/>
    </row>
    <row r="9" ht="52.5" customHeight="1">
      <c r="A9" s="16"/>
      <c r="B9" s="34" t="s">
        <v>34</v>
      </c>
      <c r="C9" s="18" t="b">
        <v>0</v>
      </c>
      <c r="D9" s="35">
        <v>2.0</v>
      </c>
      <c r="E9" s="35" t="str">
        <f t="shared" si="1"/>
        <v>Monday</v>
      </c>
      <c r="F9" s="36">
        <v>46083.0</v>
      </c>
      <c r="G9" s="35" t="s">
        <v>18</v>
      </c>
      <c r="H9" s="37">
        <v>0.5</v>
      </c>
      <c r="I9" s="37">
        <v>0.5208333333333334</v>
      </c>
      <c r="J9" s="35" t="s">
        <v>141</v>
      </c>
      <c r="K9" s="38"/>
      <c r="L9" s="42" t="s">
        <v>143</v>
      </c>
      <c r="M9" s="40" t="s">
        <v>36</v>
      </c>
      <c r="N9" s="35" t="s">
        <v>22</v>
      </c>
      <c r="O9" s="41" t="s">
        <v>37</v>
      </c>
      <c r="P9" s="16"/>
    </row>
    <row r="10" ht="52.5" customHeight="1">
      <c r="A10" s="16"/>
      <c r="B10" s="25" t="s">
        <v>38</v>
      </c>
      <c r="C10" s="26" t="b">
        <v>1</v>
      </c>
      <c r="D10" s="27">
        <v>2.0</v>
      </c>
      <c r="E10" s="27" t="str">
        <f t="shared" si="1"/>
        <v>Tuesday</v>
      </c>
      <c r="F10" s="28">
        <v>46084.0</v>
      </c>
      <c r="G10" s="27" t="s">
        <v>39</v>
      </c>
      <c r="H10" s="29">
        <v>0.9791666666666666</v>
      </c>
      <c r="I10" s="29">
        <v>0.5208333333333334</v>
      </c>
      <c r="J10" s="27" t="s">
        <v>117</v>
      </c>
      <c r="K10" s="27" t="s">
        <v>144</v>
      </c>
      <c r="L10" s="31" t="s">
        <v>40</v>
      </c>
      <c r="M10" s="32" t="s">
        <v>41</v>
      </c>
      <c r="N10" s="32" t="s">
        <v>42</v>
      </c>
      <c r="O10" s="43" t="s">
        <v>37</v>
      </c>
      <c r="P10" s="16"/>
    </row>
    <row r="11" ht="52.5" customHeight="1">
      <c r="A11" s="16"/>
      <c r="B11" s="34" t="s">
        <v>43</v>
      </c>
      <c r="C11" s="18" t="b">
        <v>1</v>
      </c>
      <c r="D11" s="35">
        <v>2.0</v>
      </c>
      <c r="E11" s="35" t="str">
        <f t="shared" si="1"/>
        <v>Wednesday</v>
      </c>
      <c r="F11" s="36">
        <v>46085.0</v>
      </c>
      <c r="G11" s="35" t="s">
        <v>18</v>
      </c>
      <c r="H11" s="37">
        <v>0.5</v>
      </c>
      <c r="I11" s="37">
        <v>0.5208333333333334</v>
      </c>
      <c r="J11" s="38"/>
      <c r="K11" s="38"/>
      <c r="L11" s="39" t="s">
        <v>44</v>
      </c>
      <c r="M11" s="40" t="s">
        <v>45</v>
      </c>
      <c r="N11" s="35" t="s">
        <v>22</v>
      </c>
      <c r="O11" s="41" t="s">
        <v>23</v>
      </c>
      <c r="P11" s="16"/>
    </row>
    <row r="12" ht="52.5" customHeight="1">
      <c r="A12" s="16"/>
      <c r="B12" s="25" t="s">
        <v>46</v>
      </c>
      <c r="C12" s="26" t="b">
        <v>0</v>
      </c>
      <c r="D12" s="27">
        <v>2.0</v>
      </c>
      <c r="E12" s="27" t="str">
        <f t="shared" si="1"/>
        <v>Thursday</v>
      </c>
      <c r="F12" s="28">
        <v>46086.0</v>
      </c>
      <c r="G12" s="27" t="s">
        <v>18</v>
      </c>
      <c r="H12" s="29">
        <v>0.5208333333333334</v>
      </c>
      <c r="I12" s="29">
        <v>0.5416666666666666</v>
      </c>
      <c r="J12" s="30"/>
      <c r="K12" s="30"/>
      <c r="L12" s="31" t="s">
        <v>47</v>
      </c>
      <c r="M12" s="27" t="s">
        <v>22</v>
      </c>
      <c r="N12" s="27" t="s">
        <v>22</v>
      </c>
      <c r="O12" s="33" t="s">
        <v>23</v>
      </c>
      <c r="P12" s="16"/>
    </row>
    <row r="13" ht="52.5" customHeight="1">
      <c r="A13" s="16"/>
      <c r="B13" s="34" t="s">
        <v>48</v>
      </c>
      <c r="C13" s="18" t="b">
        <v>0</v>
      </c>
      <c r="D13" s="35">
        <v>3.0</v>
      </c>
      <c r="E13" s="35" t="str">
        <f t="shared" si="1"/>
        <v>Friday</v>
      </c>
      <c r="F13" s="36">
        <v>46087.0</v>
      </c>
      <c r="G13" s="35" t="s">
        <v>39</v>
      </c>
      <c r="H13" s="37">
        <v>0.5</v>
      </c>
      <c r="I13" s="37">
        <v>0.5416666666666666</v>
      </c>
      <c r="J13" s="35" t="s">
        <v>117</v>
      </c>
      <c r="K13" s="35" t="s">
        <v>144</v>
      </c>
      <c r="L13" s="39" t="s">
        <v>49</v>
      </c>
      <c r="M13" s="35" t="s">
        <v>22</v>
      </c>
      <c r="N13" s="35" t="s">
        <v>22</v>
      </c>
      <c r="O13" s="41" t="s">
        <v>50</v>
      </c>
      <c r="P13" s="16"/>
    </row>
    <row r="14" ht="52.5" customHeight="1">
      <c r="A14" s="16"/>
      <c r="B14" s="25" t="s">
        <v>58</v>
      </c>
      <c r="C14" s="26" t="b">
        <v>0</v>
      </c>
      <c r="D14" s="27">
        <v>3.0</v>
      </c>
      <c r="E14" s="27" t="str">
        <f t="shared" si="1"/>
        <v>Monday</v>
      </c>
      <c r="F14" s="28">
        <v>46090.0</v>
      </c>
      <c r="G14" s="27" t="s">
        <v>18</v>
      </c>
      <c r="H14" s="29">
        <v>0.5</v>
      </c>
      <c r="I14" s="29">
        <v>0.5208333333333334</v>
      </c>
      <c r="J14" s="27" t="s">
        <v>19</v>
      </c>
      <c r="K14" s="30"/>
      <c r="L14" s="31" t="s">
        <v>59</v>
      </c>
      <c r="M14" s="44" t="s">
        <v>22</v>
      </c>
      <c r="N14" s="27" t="s">
        <v>22</v>
      </c>
      <c r="O14" s="33" t="s">
        <v>23</v>
      </c>
      <c r="P14" s="16"/>
    </row>
    <row r="15" ht="52.5" customHeight="1">
      <c r="A15" s="16"/>
      <c r="B15" s="34" t="s">
        <v>60</v>
      </c>
      <c r="C15" s="119" t="b">
        <v>1</v>
      </c>
      <c r="D15" s="35">
        <v>4.0</v>
      </c>
      <c r="E15" s="35" t="str">
        <f t="shared" si="1"/>
        <v>Tuesday</v>
      </c>
      <c r="F15" s="36">
        <v>46091.0</v>
      </c>
      <c r="G15" s="35" t="s">
        <v>18</v>
      </c>
      <c r="H15" s="37">
        <v>0.625</v>
      </c>
      <c r="I15" s="37">
        <v>0.6458333333333334</v>
      </c>
      <c r="J15" s="35" t="s">
        <v>123</v>
      </c>
      <c r="K15" s="38"/>
      <c r="L15" s="39" t="s">
        <v>61</v>
      </c>
      <c r="M15" s="40" t="s">
        <v>145</v>
      </c>
      <c r="N15" s="35" t="s">
        <v>22</v>
      </c>
      <c r="O15" s="41" t="s">
        <v>37</v>
      </c>
      <c r="P15" s="16"/>
    </row>
    <row r="16" ht="52.5" customHeight="1">
      <c r="A16" s="16"/>
      <c r="B16" s="25" t="s">
        <v>63</v>
      </c>
      <c r="C16" s="120" t="b">
        <v>0</v>
      </c>
      <c r="D16" s="27">
        <v>4.0</v>
      </c>
      <c r="E16" s="27" t="str">
        <f t="shared" si="1"/>
        <v>Wednesday</v>
      </c>
      <c r="F16" s="28">
        <v>46092.0</v>
      </c>
      <c r="G16" s="27" t="s">
        <v>18</v>
      </c>
      <c r="H16" s="29">
        <v>0.5</v>
      </c>
      <c r="I16" s="29">
        <v>0.5208333333333334</v>
      </c>
      <c r="J16" s="30"/>
      <c r="K16" s="30"/>
      <c r="L16" s="31" t="s">
        <v>64</v>
      </c>
      <c r="M16" s="45" t="s">
        <v>65</v>
      </c>
      <c r="N16" s="27" t="s">
        <v>22</v>
      </c>
      <c r="O16" s="33" t="s">
        <v>66</v>
      </c>
      <c r="P16" s="16"/>
    </row>
    <row r="17" ht="52.5" customHeight="1">
      <c r="A17" s="16"/>
      <c r="B17" s="34" t="s">
        <v>71</v>
      </c>
      <c r="C17" s="18" t="b">
        <v>0</v>
      </c>
      <c r="D17" s="35">
        <v>4.0</v>
      </c>
      <c r="E17" s="35" t="str">
        <f t="shared" si="1"/>
        <v>Thursday</v>
      </c>
      <c r="F17" s="36">
        <v>46093.0</v>
      </c>
      <c r="G17" s="35" t="s">
        <v>18</v>
      </c>
      <c r="H17" s="37">
        <v>0.5</v>
      </c>
      <c r="I17" s="37">
        <v>0.5208333333333334</v>
      </c>
      <c r="J17" s="35" t="s">
        <v>107</v>
      </c>
      <c r="K17" s="38"/>
      <c r="L17" s="39" t="s">
        <v>72</v>
      </c>
      <c r="M17" s="121" t="s">
        <v>73</v>
      </c>
      <c r="N17" s="46" t="s">
        <v>22</v>
      </c>
      <c r="O17" s="47" t="s">
        <v>23</v>
      </c>
      <c r="P17" s="16"/>
    </row>
    <row r="18" ht="52.5" customHeight="1">
      <c r="A18" s="16"/>
      <c r="B18" s="25" t="s">
        <v>76</v>
      </c>
      <c r="C18" s="26" t="b">
        <v>0</v>
      </c>
      <c r="D18" s="27">
        <v>5.0</v>
      </c>
      <c r="E18" s="27" t="str">
        <f t="shared" si="1"/>
        <v>Friday</v>
      </c>
      <c r="F18" s="28">
        <v>46094.0</v>
      </c>
      <c r="G18" s="27" t="s">
        <v>18</v>
      </c>
      <c r="H18" s="29">
        <v>0.5</v>
      </c>
      <c r="I18" s="29">
        <v>0.5208333333333334</v>
      </c>
      <c r="J18" s="27"/>
      <c r="K18" s="30"/>
      <c r="L18" s="48" t="s">
        <v>146</v>
      </c>
      <c r="M18" s="32" t="s">
        <v>78</v>
      </c>
      <c r="N18" s="44" t="s">
        <v>22</v>
      </c>
      <c r="O18" s="43" t="s">
        <v>37</v>
      </c>
      <c r="P18" s="16"/>
    </row>
    <row r="19" ht="52.5" customHeight="1">
      <c r="A19" s="16"/>
      <c r="B19" s="34" t="s">
        <v>79</v>
      </c>
      <c r="C19" s="18" t="b">
        <v>0</v>
      </c>
      <c r="D19" s="35">
        <v>5.0</v>
      </c>
      <c r="E19" s="35" t="str">
        <f t="shared" si="1"/>
        <v>Monday</v>
      </c>
      <c r="F19" s="36">
        <v>46097.0</v>
      </c>
      <c r="G19" s="35" t="s">
        <v>39</v>
      </c>
      <c r="H19" s="37">
        <v>0.5</v>
      </c>
      <c r="I19" s="37">
        <v>0.5416666666666666</v>
      </c>
      <c r="J19" s="35"/>
      <c r="K19" s="38"/>
      <c r="L19" s="39" t="s">
        <v>80</v>
      </c>
      <c r="M19" s="40" t="s">
        <v>81</v>
      </c>
      <c r="N19" s="40" t="s">
        <v>147</v>
      </c>
      <c r="O19" s="47" t="s">
        <v>37</v>
      </c>
      <c r="P19" s="16"/>
    </row>
    <row r="20" ht="52.5" customHeight="1">
      <c r="A20" s="16"/>
      <c r="B20" s="25" t="s">
        <v>87</v>
      </c>
      <c r="C20" s="26" t="b">
        <v>0</v>
      </c>
      <c r="D20" s="27">
        <v>5.0</v>
      </c>
      <c r="E20" s="27" t="str">
        <f t="shared" si="1"/>
        <v>Tuesday</v>
      </c>
      <c r="F20" s="28">
        <v>46098.0</v>
      </c>
      <c r="G20" s="27" t="s">
        <v>39</v>
      </c>
      <c r="H20" s="29">
        <v>0.5</v>
      </c>
      <c r="I20" s="29">
        <v>0.5416666666666666</v>
      </c>
      <c r="J20" s="27" t="s">
        <v>107</v>
      </c>
      <c r="K20" s="30"/>
      <c r="L20" s="31" t="s">
        <v>88</v>
      </c>
      <c r="M20" s="32" t="s">
        <v>89</v>
      </c>
      <c r="N20" s="32" t="s">
        <v>42</v>
      </c>
      <c r="O20" s="43" t="s">
        <v>37</v>
      </c>
      <c r="P20" s="16"/>
    </row>
    <row r="21" ht="52.5" customHeight="1">
      <c r="A21" s="16"/>
      <c r="B21" s="50" t="s">
        <v>92</v>
      </c>
      <c r="C21" s="51" t="b">
        <v>0</v>
      </c>
      <c r="D21" s="52">
        <v>5.0</v>
      </c>
      <c r="E21" s="52" t="str">
        <f t="shared" si="1"/>
        <v>Wednesday</v>
      </c>
      <c r="F21" s="122">
        <v>46099.0</v>
      </c>
      <c r="G21" s="52" t="s">
        <v>18</v>
      </c>
      <c r="H21" s="54" t="s">
        <v>93</v>
      </c>
      <c r="I21" s="55" t="s">
        <v>93</v>
      </c>
      <c r="J21" s="56" t="s">
        <v>94</v>
      </c>
      <c r="K21" s="56" t="s">
        <v>95</v>
      </c>
      <c r="L21" s="57" t="s">
        <v>96</v>
      </c>
      <c r="M21" s="58" t="s">
        <v>97</v>
      </c>
      <c r="N21" s="59"/>
      <c r="O21" s="60" t="s">
        <v>98</v>
      </c>
      <c r="P21" s="16"/>
    </row>
    <row r="22" ht="52.5" customHeight="1">
      <c r="A22" s="16"/>
      <c r="B22" s="25" t="s">
        <v>99</v>
      </c>
      <c r="C22" s="26" t="b">
        <v>0</v>
      </c>
      <c r="D22" s="27">
        <v>6.0</v>
      </c>
      <c r="E22" s="27" t="str">
        <f t="shared" si="1"/>
        <v>Friday</v>
      </c>
      <c r="F22" s="28">
        <v>46108.0</v>
      </c>
      <c r="G22" s="27" t="s">
        <v>18</v>
      </c>
      <c r="H22" s="29">
        <v>0.5</v>
      </c>
      <c r="I22" s="29">
        <v>0.5208333333333334</v>
      </c>
      <c r="J22" s="27" t="s">
        <v>19</v>
      </c>
      <c r="K22" s="30"/>
      <c r="L22" s="27" t="s">
        <v>100</v>
      </c>
      <c r="M22" s="27" t="s">
        <v>22</v>
      </c>
      <c r="N22" s="27" t="s">
        <v>22</v>
      </c>
      <c r="O22" s="33" t="s">
        <v>23</v>
      </c>
      <c r="P22" s="16"/>
    </row>
    <row r="23" ht="52.5" customHeight="1">
      <c r="A23" s="61"/>
      <c r="B23" s="34" t="s">
        <v>102</v>
      </c>
      <c r="C23" s="18" t="b">
        <v>0</v>
      </c>
      <c r="D23" s="35" t="s">
        <v>103</v>
      </c>
      <c r="E23" s="35" t="str">
        <f t="shared" si="1"/>
        <v>Monday</v>
      </c>
      <c r="F23" s="36">
        <v>46139.0</v>
      </c>
      <c r="G23" s="35" t="s">
        <v>18</v>
      </c>
      <c r="H23" s="63">
        <v>0.5</v>
      </c>
      <c r="I23" s="37">
        <v>0.5208333333333334</v>
      </c>
      <c r="J23" s="35"/>
      <c r="K23" s="35"/>
      <c r="L23" s="35" t="s">
        <v>22</v>
      </c>
      <c r="M23" s="35" t="s">
        <v>22</v>
      </c>
      <c r="N23" s="35" t="s">
        <v>22</v>
      </c>
      <c r="O23" s="41" t="s">
        <v>23</v>
      </c>
      <c r="P23" s="61"/>
    </row>
    <row r="24" ht="52.5" customHeight="1">
      <c r="A24" s="61"/>
      <c r="B24" s="25" t="s">
        <v>104</v>
      </c>
      <c r="C24" s="26" t="b">
        <v>0</v>
      </c>
      <c r="D24" s="27" t="s">
        <v>103</v>
      </c>
      <c r="E24" s="27" t="str">
        <f t="shared" si="1"/>
        <v>Monday</v>
      </c>
      <c r="F24" s="28">
        <v>46139.0</v>
      </c>
      <c r="G24" s="27" t="s">
        <v>18</v>
      </c>
      <c r="H24" s="49">
        <v>0.5</v>
      </c>
      <c r="I24" s="29">
        <v>0.5208333333333334</v>
      </c>
      <c r="J24" s="27"/>
      <c r="K24" s="27"/>
      <c r="L24" s="27" t="s">
        <v>22</v>
      </c>
      <c r="M24" s="27" t="s">
        <v>22</v>
      </c>
      <c r="N24" s="30"/>
      <c r="O24" s="33" t="s">
        <v>23</v>
      </c>
      <c r="P24" s="61"/>
    </row>
    <row r="25" ht="52.5" customHeight="1">
      <c r="A25" s="61"/>
      <c r="B25" s="123" t="s">
        <v>105</v>
      </c>
      <c r="C25" s="18" t="b">
        <v>0</v>
      </c>
      <c r="D25" s="124" t="s">
        <v>103</v>
      </c>
      <c r="E25" s="124" t="str">
        <f t="shared" si="1"/>
        <v>Friday</v>
      </c>
      <c r="F25" s="125">
        <v>46164.0</v>
      </c>
      <c r="G25" s="124" t="s">
        <v>18</v>
      </c>
      <c r="H25" s="126">
        <v>0.5</v>
      </c>
      <c r="I25" s="127">
        <v>0.5208333333333334</v>
      </c>
      <c r="J25" s="124"/>
      <c r="K25" s="124"/>
      <c r="L25" s="124" t="s">
        <v>22</v>
      </c>
      <c r="M25" s="124" t="s">
        <v>22</v>
      </c>
      <c r="N25" s="124" t="s">
        <v>22</v>
      </c>
      <c r="O25" s="128" t="s">
        <v>23</v>
      </c>
      <c r="P25" s="61"/>
    </row>
    <row r="26">
      <c r="A26" s="3"/>
      <c r="B26" s="3"/>
      <c r="C26" s="2"/>
      <c r="D26" s="3"/>
      <c r="E26" s="70"/>
      <c r="F26" s="70"/>
      <c r="G26" s="71"/>
      <c r="H26" s="71"/>
      <c r="I26" s="71"/>
      <c r="J26" s="3"/>
      <c r="K26" s="3"/>
      <c r="L26" s="72"/>
      <c r="M26" s="3"/>
      <c r="N26" s="3"/>
      <c r="O26" s="3"/>
      <c r="P26" s="3"/>
    </row>
  </sheetData>
  <mergeCells count="1">
    <mergeCell ref="D3:O3"/>
  </mergeCells>
  <hyperlinks>
    <hyperlink r:id="rId1" ref="B3"/>
    <hyperlink r:id="rId2" location="slide=id.gf32bf9945b_0_954" ref="M6"/>
    <hyperlink r:id="rId3" ref="M7"/>
    <hyperlink r:id="rId4" ref="M8"/>
    <hyperlink r:id="rId5" location="Trafficking101-IAS" ref="L9"/>
    <hyperlink r:id="rId6" ref="M9"/>
    <hyperlink r:id="rId7" location="slide=id.gd0b4d203b3_0_21" ref="M10"/>
    <hyperlink r:id="rId8" ref="N10"/>
    <hyperlink r:id="rId9" location="slide=id.g2c6c71b5974_2_458" ref="M11"/>
    <hyperlink r:id="rId10" ref="M15"/>
    <hyperlink r:id="rId11" ref="M16"/>
    <hyperlink r:id="rId12" location="gid=1399114443" ref="M17"/>
    <hyperlink r:id="rId13" ref="L18"/>
    <hyperlink r:id="rId14" ref="M18"/>
    <hyperlink r:id="rId15" ref="M19"/>
    <hyperlink r:id="rId16" ref="N19"/>
    <hyperlink r:id="rId17" ref="M20"/>
    <hyperlink r:id="rId18" ref="N20"/>
    <hyperlink r:id="rId19" location="slide=id.g2c6c71b5974_2_22" ref="M21"/>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19.5"/>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45566.0</v>
      </c>
      <c r="C2" s="2"/>
      <c r="D2" s="3"/>
      <c r="E2" s="4"/>
      <c r="F2" s="4"/>
      <c r="G2" s="4"/>
      <c r="H2" s="4"/>
      <c r="I2" s="4"/>
      <c r="J2" s="1"/>
      <c r="L2" s="5"/>
      <c r="M2" s="1"/>
      <c r="N2" s="1"/>
      <c r="O2" s="1"/>
      <c r="P2" s="1"/>
    </row>
    <row r="3">
      <c r="A3" s="1"/>
      <c r="B3" s="129" t="s">
        <v>148</v>
      </c>
      <c r="C3" s="130"/>
      <c r="D3" s="131" t="s">
        <v>149</v>
      </c>
      <c r="E3" s="132"/>
      <c r="F3" s="132"/>
      <c r="G3" s="132"/>
      <c r="H3" s="132"/>
      <c r="I3" s="132"/>
      <c r="J3" s="132"/>
      <c r="K3" s="132"/>
      <c r="L3" s="132"/>
      <c r="M3" s="132"/>
      <c r="N3" s="132"/>
      <c r="O3" s="133"/>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34" t="s">
        <v>17</v>
      </c>
      <c r="C5" s="135" t="b">
        <v>1</v>
      </c>
      <c r="D5" s="136">
        <v>1.0</v>
      </c>
      <c r="E5" s="136" t="str">
        <f t="shared" ref="E5:E13" si="1">TEXT(F5, "dddd")</f>
        <v>Tuesday</v>
      </c>
      <c r="F5" s="137">
        <f>B2</f>
        <v>45566</v>
      </c>
      <c r="G5" s="136" t="s">
        <v>18</v>
      </c>
      <c r="H5" s="138">
        <v>0.6458333333333334</v>
      </c>
      <c r="I5" s="138">
        <v>0.6666666666666666</v>
      </c>
      <c r="J5" s="136" t="s">
        <v>150</v>
      </c>
      <c r="K5" s="139"/>
      <c r="L5" s="140" t="s">
        <v>151</v>
      </c>
      <c r="M5" s="136" t="s">
        <v>21</v>
      </c>
      <c r="N5" s="136" t="s">
        <v>22</v>
      </c>
      <c r="O5" s="141" t="s">
        <v>23</v>
      </c>
      <c r="P5" s="16"/>
    </row>
    <row r="6" ht="52.5" customHeight="1">
      <c r="A6" s="16"/>
      <c r="B6" s="25" t="s">
        <v>24</v>
      </c>
      <c r="C6" s="26" t="b">
        <v>1</v>
      </c>
      <c r="D6" s="27">
        <v>1.0</v>
      </c>
      <c r="E6" s="27" t="str">
        <f t="shared" si="1"/>
        <v>Wednesday</v>
      </c>
      <c r="F6" s="28">
        <f>WORKDAY(B2, 1)</f>
        <v>45567</v>
      </c>
      <c r="G6" s="27" t="s">
        <v>18</v>
      </c>
      <c r="H6" s="29">
        <v>0.5</v>
      </c>
      <c r="I6" s="29">
        <v>0.5208333333333334</v>
      </c>
      <c r="J6" s="27" t="s">
        <v>152</v>
      </c>
      <c r="K6" s="27" t="s">
        <v>118</v>
      </c>
      <c r="L6" s="31" t="s">
        <v>25</v>
      </c>
      <c r="M6" s="32" t="s">
        <v>26</v>
      </c>
      <c r="N6" s="27" t="s">
        <v>22</v>
      </c>
      <c r="O6" s="33" t="s">
        <v>23</v>
      </c>
      <c r="P6" s="16"/>
    </row>
    <row r="7" ht="52.5" customHeight="1">
      <c r="A7" s="16"/>
      <c r="B7" s="142" t="s">
        <v>27</v>
      </c>
      <c r="C7" s="135" t="b">
        <v>1</v>
      </c>
      <c r="D7" s="143">
        <v>1.0</v>
      </c>
      <c r="E7" s="143" t="str">
        <f t="shared" si="1"/>
        <v>Thursday</v>
      </c>
      <c r="F7" s="144">
        <f>WORKDAY(B2, 2)</f>
        <v>45568</v>
      </c>
      <c r="G7" s="143" t="s">
        <v>18</v>
      </c>
      <c r="H7" s="145">
        <v>0.5</v>
      </c>
      <c r="I7" s="145">
        <v>0.5208333333333334</v>
      </c>
      <c r="J7" s="143" t="s">
        <v>114</v>
      </c>
      <c r="K7" s="143" t="s">
        <v>118</v>
      </c>
      <c r="L7" s="146" t="s">
        <v>28</v>
      </c>
      <c r="M7" s="147" t="s">
        <v>153</v>
      </c>
      <c r="N7" s="143" t="s">
        <v>22</v>
      </c>
      <c r="O7" s="148" t="s">
        <v>23</v>
      </c>
      <c r="P7" s="16"/>
    </row>
    <row r="8" ht="52.5" customHeight="1">
      <c r="A8" s="16"/>
      <c r="B8" s="25" t="s">
        <v>30</v>
      </c>
      <c r="C8" s="26" t="b">
        <v>1</v>
      </c>
      <c r="D8" s="27">
        <v>2.0</v>
      </c>
      <c r="E8" s="27" t="str">
        <f t="shared" si="1"/>
        <v>Tuesday</v>
      </c>
      <c r="F8" s="28">
        <f>WORKDAY(B2, 5)</f>
        <v>45573</v>
      </c>
      <c r="G8" s="27" t="s">
        <v>18</v>
      </c>
      <c r="H8" s="29">
        <v>0.5</v>
      </c>
      <c r="I8" s="29">
        <v>0.5208333333333334</v>
      </c>
      <c r="J8" s="27" t="s">
        <v>118</v>
      </c>
      <c r="K8" s="30"/>
      <c r="L8" s="31" t="s">
        <v>154</v>
      </c>
      <c r="M8" s="45" t="s">
        <v>155</v>
      </c>
      <c r="N8" s="27" t="s">
        <v>22</v>
      </c>
      <c r="O8" s="33" t="s">
        <v>23</v>
      </c>
      <c r="P8" s="16"/>
    </row>
    <row r="9" ht="52.5" customHeight="1">
      <c r="A9" s="16"/>
      <c r="B9" s="142" t="s">
        <v>46</v>
      </c>
      <c r="C9" s="135" t="b">
        <v>0</v>
      </c>
      <c r="D9" s="143">
        <v>2.0</v>
      </c>
      <c r="E9" s="143" t="str">
        <f t="shared" si="1"/>
        <v>Thursday</v>
      </c>
      <c r="F9" s="144">
        <f>WORKDAY(B2, 7)</f>
        <v>45575</v>
      </c>
      <c r="G9" s="143" t="s">
        <v>18</v>
      </c>
      <c r="H9" s="145">
        <v>0.5208333333333334</v>
      </c>
      <c r="I9" s="145">
        <v>0.5416666666666666</v>
      </c>
      <c r="J9" s="143" t="s">
        <v>119</v>
      </c>
      <c r="K9" s="143" t="s">
        <v>118</v>
      </c>
      <c r="L9" s="146" t="s">
        <v>47</v>
      </c>
      <c r="M9" s="143" t="s">
        <v>22</v>
      </c>
      <c r="N9" s="143" t="s">
        <v>22</v>
      </c>
      <c r="O9" s="148" t="s">
        <v>23</v>
      </c>
      <c r="P9" s="16"/>
    </row>
    <row r="10" ht="52.5" customHeight="1">
      <c r="A10" s="16"/>
      <c r="B10" s="25" t="s">
        <v>87</v>
      </c>
      <c r="C10" s="26" t="b">
        <v>1</v>
      </c>
      <c r="D10" s="27">
        <v>5.0</v>
      </c>
      <c r="E10" s="27" t="str">
        <f t="shared" si="1"/>
        <v>Tuesday</v>
      </c>
      <c r="F10" s="28">
        <f>WORKDAY(B2, 10)</f>
        <v>45580</v>
      </c>
      <c r="G10" s="27" t="s">
        <v>39</v>
      </c>
      <c r="H10" s="29">
        <v>0.5</v>
      </c>
      <c r="I10" s="29">
        <v>0.5416666666666666</v>
      </c>
      <c r="J10" s="27" t="s">
        <v>107</v>
      </c>
      <c r="K10" s="27" t="s">
        <v>117</v>
      </c>
      <c r="L10" s="31"/>
      <c r="M10" s="32" t="s">
        <v>89</v>
      </c>
      <c r="N10" s="32" t="s">
        <v>42</v>
      </c>
      <c r="O10" s="43" t="s">
        <v>37</v>
      </c>
      <c r="P10" s="16"/>
    </row>
    <row r="11" ht="52.5" customHeight="1">
      <c r="A11" s="16"/>
      <c r="B11" s="142" t="s">
        <v>99</v>
      </c>
      <c r="C11" s="135" t="b">
        <v>0</v>
      </c>
      <c r="D11" s="143">
        <v>6.0</v>
      </c>
      <c r="E11" s="143" t="str">
        <f t="shared" si="1"/>
        <v>Wednesday</v>
      </c>
      <c r="F11" s="144">
        <f>WORKDAY(B2, 21)</f>
        <v>45595</v>
      </c>
      <c r="G11" s="143" t="s">
        <v>18</v>
      </c>
      <c r="H11" s="145">
        <v>0.5</v>
      </c>
      <c r="I11" s="145">
        <v>0.5208333333333334</v>
      </c>
      <c r="J11" s="136" t="s">
        <v>150</v>
      </c>
      <c r="K11" s="149"/>
      <c r="L11" s="143" t="s">
        <v>22</v>
      </c>
      <c r="M11" s="143" t="s">
        <v>22</v>
      </c>
      <c r="N11" s="143" t="s">
        <v>22</v>
      </c>
      <c r="O11" s="148" t="s">
        <v>23</v>
      </c>
      <c r="P11" s="16"/>
    </row>
    <row r="12" ht="52.5" customHeight="1">
      <c r="A12" s="61"/>
      <c r="B12" s="25" t="s">
        <v>102</v>
      </c>
      <c r="C12" s="26" t="b">
        <v>0</v>
      </c>
      <c r="D12" s="27" t="s">
        <v>103</v>
      </c>
      <c r="E12" s="27" t="str">
        <f t="shared" si="1"/>
        <v>Thursday</v>
      </c>
      <c r="F12" s="28">
        <f>WORKDAY(B2, 42)</f>
        <v>45624</v>
      </c>
      <c r="G12" s="27" t="s">
        <v>18</v>
      </c>
      <c r="H12" s="49">
        <v>0.5</v>
      </c>
      <c r="I12" s="29">
        <v>0.5208333333333334</v>
      </c>
      <c r="J12" s="150" t="s">
        <v>150</v>
      </c>
      <c r="K12" s="27"/>
      <c r="L12" s="27" t="s">
        <v>22</v>
      </c>
      <c r="M12" s="27" t="s">
        <v>22</v>
      </c>
      <c r="N12" s="27" t="s">
        <v>22</v>
      </c>
      <c r="O12" s="33" t="s">
        <v>23</v>
      </c>
      <c r="P12" s="61"/>
    </row>
    <row r="13" ht="52.5" customHeight="1">
      <c r="A13" s="61"/>
      <c r="B13" s="151" t="s">
        <v>105</v>
      </c>
      <c r="C13" s="135" t="b">
        <v>0</v>
      </c>
      <c r="D13" s="152" t="s">
        <v>103</v>
      </c>
      <c r="E13" s="152" t="str">
        <f t="shared" si="1"/>
        <v>Friday</v>
      </c>
      <c r="F13" s="153">
        <f>WORKDAY(B2,63)</f>
        <v>45653</v>
      </c>
      <c r="G13" s="152" t="s">
        <v>18</v>
      </c>
      <c r="H13" s="154">
        <v>0.5</v>
      </c>
      <c r="I13" s="155">
        <v>0.5208333333333334</v>
      </c>
      <c r="J13" s="136" t="s">
        <v>150</v>
      </c>
      <c r="K13" s="152"/>
      <c r="L13" s="152" t="s">
        <v>22</v>
      </c>
      <c r="M13" s="152" t="s">
        <v>22</v>
      </c>
      <c r="N13" s="152" t="s">
        <v>22</v>
      </c>
      <c r="O13" s="156" t="s">
        <v>23</v>
      </c>
      <c r="P13" s="61"/>
    </row>
    <row r="14">
      <c r="A14" s="3"/>
      <c r="B14" s="3"/>
      <c r="C14" s="2"/>
      <c r="D14" s="3"/>
      <c r="E14" s="70"/>
      <c r="F14" s="70"/>
      <c r="G14" s="71"/>
      <c r="H14" s="71"/>
      <c r="I14" s="71"/>
      <c r="J14" s="3"/>
      <c r="K14" s="3"/>
      <c r="L14" s="72"/>
      <c r="M14" s="3"/>
      <c r="N14" s="3"/>
      <c r="O14" s="3"/>
      <c r="P14" s="3"/>
    </row>
  </sheetData>
  <mergeCells count="1">
    <mergeCell ref="D3:O3"/>
  </mergeCells>
  <hyperlinks>
    <hyperlink r:id="rId1" ref="B3"/>
    <hyperlink r:id="rId2" location="slide=id.gf32bf9945b_0_954" ref="M6"/>
    <hyperlink r:id="rId3" ref="M7"/>
    <hyperlink r:id="rId4" ref="M8"/>
    <hyperlink r:id="rId5" ref="M10"/>
    <hyperlink r:id="rId6" ref="N10"/>
  </hyperlinks>
  <drawing r:id="rId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39.63"/>
    <col customWidth="1" min="3" max="3" width="17.88"/>
    <col customWidth="1" min="4" max="4" width="72.75"/>
    <col customWidth="1" min="5" max="6" width="13.13"/>
    <col customWidth="1" min="7" max="7" width="3.63"/>
  </cols>
  <sheetData>
    <row r="1">
      <c r="A1" s="157"/>
      <c r="B1" s="157"/>
      <c r="C1" s="157"/>
      <c r="D1" s="157"/>
      <c r="E1" s="157"/>
      <c r="F1" s="157"/>
      <c r="G1" s="158"/>
    </row>
    <row r="2">
      <c r="A2" s="157"/>
      <c r="B2" s="159" t="s">
        <v>156</v>
      </c>
      <c r="C2" s="160"/>
      <c r="D2" s="160"/>
      <c r="E2" s="160"/>
      <c r="F2" s="161"/>
      <c r="G2" s="158"/>
    </row>
    <row r="3">
      <c r="A3" s="162"/>
      <c r="B3" s="163" t="s">
        <v>157</v>
      </c>
      <c r="C3" s="163" t="s">
        <v>158</v>
      </c>
      <c r="D3" s="163" t="s">
        <v>159</v>
      </c>
      <c r="E3" s="163" t="s">
        <v>160</v>
      </c>
      <c r="F3" s="163" t="s">
        <v>161</v>
      </c>
      <c r="G3" s="158"/>
    </row>
    <row r="4">
      <c r="A4" s="164"/>
      <c r="B4" s="165" t="s">
        <v>162</v>
      </c>
      <c r="C4" s="166" t="s">
        <v>31</v>
      </c>
      <c r="D4" s="167" t="s">
        <v>163</v>
      </c>
      <c r="E4" s="168"/>
      <c r="F4" s="169" t="s">
        <v>164</v>
      </c>
      <c r="G4" s="170"/>
    </row>
    <row r="5">
      <c r="A5" s="164"/>
      <c r="B5" s="171" t="s">
        <v>165</v>
      </c>
      <c r="C5" s="172" t="s">
        <v>31</v>
      </c>
      <c r="D5" s="173" t="s">
        <v>166</v>
      </c>
      <c r="E5" s="174"/>
      <c r="F5" s="174" t="s">
        <v>164</v>
      </c>
      <c r="G5" s="170"/>
    </row>
    <row r="6">
      <c r="A6" s="164"/>
      <c r="B6" s="165" t="s">
        <v>167</v>
      </c>
      <c r="C6" s="175" t="s">
        <v>31</v>
      </c>
      <c r="D6" s="176" t="s">
        <v>168</v>
      </c>
      <c r="E6" s="177"/>
      <c r="F6" s="177" t="s">
        <v>164</v>
      </c>
      <c r="G6" s="170"/>
    </row>
    <row r="7">
      <c r="A7" s="164"/>
      <c r="B7" s="171" t="s">
        <v>169</v>
      </c>
      <c r="C7" s="172" t="s">
        <v>31</v>
      </c>
      <c r="D7" s="173" t="s">
        <v>170</v>
      </c>
      <c r="E7" s="174"/>
      <c r="F7" s="174" t="s">
        <v>171</v>
      </c>
      <c r="G7" s="170"/>
    </row>
    <row r="8">
      <c r="A8" s="164"/>
      <c r="B8" s="165" t="s">
        <v>172</v>
      </c>
      <c r="C8" s="175" t="s">
        <v>31</v>
      </c>
      <c r="D8" s="165" t="s">
        <v>173</v>
      </c>
      <c r="E8" s="177"/>
      <c r="F8" s="177" t="s">
        <v>171</v>
      </c>
      <c r="G8" s="170"/>
    </row>
    <row r="9">
      <c r="A9" s="164"/>
      <c r="B9" s="171" t="s">
        <v>174</v>
      </c>
      <c r="C9" s="172" t="s">
        <v>31</v>
      </c>
      <c r="D9" s="173" t="s">
        <v>175</v>
      </c>
      <c r="E9" s="178"/>
      <c r="F9" s="174" t="s">
        <v>171</v>
      </c>
      <c r="G9" s="170"/>
    </row>
    <row r="10">
      <c r="A10" s="164"/>
      <c r="B10" s="179" t="s">
        <v>176</v>
      </c>
      <c r="C10" s="180" t="s">
        <v>31</v>
      </c>
      <c r="D10" s="181" t="s">
        <v>177</v>
      </c>
      <c r="E10" s="182" t="s">
        <v>178</v>
      </c>
      <c r="F10" s="182" t="s">
        <v>164</v>
      </c>
      <c r="G10" s="170"/>
    </row>
    <row r="11">
      <c r="A11" s="164"/>
      <c r="B11" s="183" t="s">
        <v>179</v>
      </c>
      <c r="C11" s="174" t="s">
        <v>31</v>
      </c>
      <c r="D11" s="184" t="s">
        <v>180</v>
      </c>
      <c r="E11" s="185"/>
      <c r="F11" s="186" t="s">
        <v>181</v>
      </c>
      <c r="G11" s="170"/>
    </row>
    <row r="12">
      <c r="A12" s="164"/>
      <c r="B12" s="187" t="s">
        <v>182</v>
      </c>
      <c r="C12" s="177" t="s">
        <v>183</v>
      </c>
      <c r="D12" s="176" t="s">
        <v>184</v>
      </c>
      <c r="E12" s="188"/>
      <c r="F12" s="182" t="s">
        <v>171</v>
      </c>
      <c r="G12" s="170"/>
    </row>
    <row r="13">
      <c r="A13" s="164"/>
      <c r="B13" s="189" t="s">
        <v>185</v>
      </c>
      <c r="C13" s="174" t="s">
        <v>183</v>
      </c>
      <c r="D13" s="190" t="s">
        <v>186</v>
      </c>
      <c r="E13" s="185"/>
      <c r="F13" s="186" t="s">
        <v>171</v>
      </c>
      <c r="G13" s="170"/>
    </row>
    <row r="14">
      <c r="A14" s="164"/>
      <c r="B14" s="191" t="s">
        <v>187</v>
      </c>
      <c r="C14" s="177" t="s">
        <v>31</v>
      </c>
      <c r="D14" s="192" t="s">
        <v>188</v>
      </c>
      <c r="E14" s="168"/>
      <c r="F14" s="182" t="s">
        <v>164</v>
      </c>
      <c r="G14" s="170"/>
    </row>
    <row r="15">
      <c r="A15" s="164"/>
      <c r="B15" s="193" t="s">
        <v>189</v>
      </c>
      <c r="C15" s="174" t="s">
        <v>31</v>
      </c>
      <c r="D15" s="184" t="s">
        <v>190</v>
      </c>
      <c r="E15" s="185"/>
      <c r="F15" s="186" t="s">
        <v>164</v>
      </c>
      <c r="G15" s="170"/>
    </row>
    <row r="16">
      <c r="A16" s="164"/>
      <c r="B16" s="194" t="s">
        <v>191</v>
      </c>
      <c r="C16" s="177" t="s">
        <v>192</v>
      </c>
      <c r="D16" s="192" t="s">
        <v>193</v>
      </c>
      <c r="E16" s="168"/>
      <c r="F16" s="182" t="s">
        <v>181</v>
      </c>
      <c r="G16" s="170"/>
    </row>
    <row r="17">
      <c r="A17" s="164"/>
      <c r="B17" s="195" t="s">
        <v>194</v>
      </c>
      <c r="C17" s="174" t="s">
        <v>31</v>
      </c>
      <c r="D17" s="190" t="s">
        <v>195</v>
      </c>
      <c r="E17" s="185"/>
      <c r="F17" s="186" t="s">
        <v>164</v>
      </c>
      <c r="G17" s="170"/>
    </row>
    <row r="18">
      <c r="A18" s="164"/>
      <c r="B18" s="194" t="s">
        <v>196</v>
      </c>
      <c r="C18" s="177" t="s">
        <v>197</v>
      </c>
      <c r="D18" s="196" t="s">
        <v>198</v>
      </c>
      <c r="E18" s="168"/>
      <c r="F18" s="168" t="s">
        <v>171</v>
      </c>
      <c r="G18" s="170"/>
    </row>
    <row r="19">
      <c r="A19" s="164"/>
      <c r="B19" s="195" t="s">
        <v>199</v>
      </c>
      <c r="C19" s="174" t="s">
        <v>19</v>
      </c>
      <c r="D19" s="190" t="s">
        <v>200</v>
      </c>
      <c r="E19" s="185"/>
      <c r="F19" s="185" t="s">
        <v>164</v>
      </c>
      <c r="G19" s="170"/>
    </row>
    <row r="20">
      <c r="A20" s="164"/>
      <c r="B20" s="194" t="s">
        <v>201</v>
      </c>
      <c r="C20" s="177" t="s">
        <v>192</v>
      </c>
      <c r="D20" s="197" t="s">
        <v>202</v>
      </c>
      <c r="E20" s="168"/>
      <c r="F20" s="168" t="s">
        <v>164</v>
      </c>
      <c r="G20" s="170"/>
    </row>
    <row r="21">
      <c r="A21" s="164"/>
      <c r="B21" s="195" t="s">
        <v>203</v>
      </c>
      <c r="C21" s="174" t="s">
        <v>192</v>
      </c>
      <c r="D21" s="185" t="s">
        <v>204</v>
      </c>
      <c r="E21" s="185"/>
      <c r="F21" s="186" t="s">
        <v>171</v>
      </c>
      <c r="G21" s="170"/>
    </row>
    <row r="22">
      <c r="A22" s="164"/>
      <c r="B22" s="194" t="s">
        <v>205</v>
      </c>
      <c r="C22" s="177" t="s">
        <v>192</v>
      </c>
      <c r="D22" s="192" t="s">
        <v>206</v>
      </c>
      <c r="E22" s="168"/>
      <c r="F22" s="182" t="s">
        <v>171</v>
      </c>
      <c r="G22" s="170"/>
    </row>
    <row r="23">
      <c r="A23" s="164"/>
      <c r="B23" s="193" t="s">
        <v>207</v>
      </c>
      <c r="C23" s="174" t="s">
        <v>192</v>
      </c>
      <c r="D23" s="184" t="s">
        <v>208</v>
      </c>
      <c r="E23" s="185"/>
      <c r="F23" s="185" t="s">
        <v>164</v>
      </c>
      <c r="G23" s="170"/>
    </row>
    <row r="24">
      <c r="A24" s="164"/>
      <c r="B24" s="194" t="s">
        <v>209</v>
      </c>
      <c r="C24" s="177" t="s">
        <v>192</v>
      </c>
      <c r="D24" s="192" t="s">
        <v>210</v>
      </c>
      <c r="E24" s="168"/>
      <c r="F24" s="168" t="s">
        <v>164</v>
      </c>
      <c r="G24" s="170"/>
    </row>
    <row r="25">
      <c r="A25" s="164"/>
      <c r="B25" s="195" t="s">
        <v>211</v>
      </c>
      <c r="C25" s="174" t="s">
        <v>192</v>
      </c>
      <c r="D25" s="184" t="s">
        <v>212</v>
      </c>
      <c r="E25" s="185"/>
      <c r="F25" s="185" t="s">
        <v>164</v>
      </c>
      <c r="G25" s="170"/>
    </row>
    <row r="26">
      <c r="A26" s="164"/>
      <c r="B26" s="194" t="s">
        <v>213</v>
      </c>
      <c r="C26" s="177" t="s">
        <v>183</v>
      </c>
      <c r="D26" s="196" t="s">
        <v>214</v>
      </c>
      <c r="E26" s="168"/>
      <c r="F26" s="168" t="s">
        <v>164</v>
      </c>
      <c r="G26" s="170"/>
    </row>
    <row r="27">
      <c r="A27" s="164"/>
      <c r="B27" s="195" t="s">
        <v>215</v>
      </c>
      <c r="C27" s="174" t="s">
        <v>183</v>
      </c>
      <c r="D27" s="184" t="s">
        <v>216</v>
      </c>
      <c r="E27" s="185" t="s">
        <v>217</v>
      </c>
      <c r="F27" s="186" t="s">
        <v>181</v>
      </c>
      <c r="G27" s="170"/>
    </row>
    <row r="28">
      <c r="A28" s="164"/>
      <c r="B28" s="194" t="s">
        <v>78</v>
      </c>
      <c r="C28" s="177" t="s">
        <v>183</v>
      </c>
      <c r="D28" s="196" t="s">
        <v>218</v>
      </c>
      <c r="E28" s="168"/>
      <c r="F28" s="182" t="s">
        <v>171</v>
      </c>
      <c r="G28" s="170"/>
    </row>
    <row r="29">
      <c r="A29" s="164"/>
      <c r="B29" s="195" t="s">
        <v>21</v>
      </c>
      <c r="C29" s="174" t="s">
        <v>19</v>
      </c>
      <c r="D29" s="190" t="s">
        <v>219</v>
      </c>
      <c r="E29" s="185"/>
      <c r="F29" s="185" t="s">
        <v>171</v>
      </c>
      <c r="G29" s="170"/>
    </row>
    <row r="30">
      <c r="A30" s="170"/>
      <c r="B30" s="198" t="s">
        <v>220</v>
      </c>
      <c r="C30" s="199" t="s">
        <v>183</v>
      </c>
      <c r="D30" s="200" t="s">
        <v>221</v>
      </c>
      <c r="E30" s="201"/>
      <c r="F30" s="202" t="s">
        <v>22</v>
      </c>
      <c r="G30" s="170"/>
    </row>
    <row r="31">
      <c r="A31" s="164"/>
      <c r="B31" s="203" t="s">
        <v>222</v>
      </c>
      <c r="C31" s="202" t="s">
        <v>183</v>
      </c>
      <c r="D31" s="204" t="s">
        <v>223</v>
      </c>
      <c r="E31" s="205"/>
      <c r="F31" s="202" t="s">
        <v>22</v>
      </c>
      <c r="G31" s="170"/>
    </row>
    <row r="32">
      <c r="A32" s="170"/>
      <c r="B32" s="206" t="s">
        <v>224</v>
      </c>
      <c r="C32" s="207" t="s">
        <v>225</v>
      </c>
      <c r="D32" s="208" t="s">
        <v>226</v>
      </c>
      <c r="E32" s="209" t="s">
        <v>227</v>
      </c>
      <c r="F32" s="202" t="s">
        <v>164</v>
      </c>
      <c r="G32" s="170"/>
    </row>
    <row r="33">
      <c r="A33" s="170"/>
      <c r="B33" s="210" t="s">
        <v>228</v>
      </c>
      <c r="C33" s="211" t="s">
        <v>192</v>
      </c>
      <c r="D33" s="212" t="s">
        <v>229</v>
      </c>
      <c r="E33" s="213"/>
      <c r="F33" s="202" t="s">
        <v>181</v>
      </c>
      <c r="G33" s="170"/>
    </row>
    <row r="34">
      <c r="A34" s="170"/>
      <c r="B34" s="199" t="s">
        <v>230</v>
      </c>
      <c r="C34" s="201" t="s">
        <v>183</v>
      </c>
      <c r="D34" s="200" t="s">
        <v>231</v>
      </c>
      <c r="E34" s="213"/>
      <c r="F34" s="202" t="s">
        <v>171</v>
      </c>
      <c r="G34" s="170"/>
    </row>
    <row r="35">
      <c r="A35" s="170"/>
      <c r="B35" s="199" t="s">
        <v>232</v>
      </c>
      <c r="C35" s="201" t="s">
        <v>183</v>
      </c>
      <c r="D35" s="200" t="s">
        <v>233</v>
      </c>
      <c r="E35" s="213"/>
      <c r="F35" s="202" t="s">
        <v>171</v>
      </c>
      <c r="G35" s="170"/>
    </row>
    <row r="36">
      <c r="A36" s="170"/>
      <c r="B36" s="199" t="s">
        <v>234</v>
      </c>
      <c r="C36" s="201" t="s">
        <v>183</v>
      </c>
      <c r="D36" s="200" t="s">
        <v>235</v>
      </c>
      <c r="E36" s="213"/>
      <c r="F36" s="202" t="s">
        <v>171</v>
      </c>
      <c r="G36" s="170"/>
    </row>
    <row r="37">
      <c r="A37" s="170"/>
      <c r="B37" s="199" t="s">
        <v>236</v>
      </c>
      <c r="C37" s="201" t="s">
        <v>183</v>
      </c>
      <c r="D37" s="200" t="s">
        <v>237</v>
      </c>
      <c r="E37" s="213"/>
      <c r="F37" s="201" t="s">
        <v>171</v>
      </c>
      <c r="G37" s="170"/>
    </row>
    <row r="38">
      <c r="A38" s="170"/>
      <c r="B38" s="199" t="s">
        <v>238</v>
      </c>
      <c r="C38" s="201" t="s">
        <v>31</v>
      </c>
      <c r="D38" s="200" t="s">
        <v>239</v>
      </c>
      <c r="E38" s="214" t="s">
        <v>240</v>
      </c>
      <c r="F38" s="202" t="s">
        <v>171</v>
      </c>
      <c r="G38" s="170"/>
    </row>
    <row r="39">
      <c r="A39" s="170"/>
      <c r="B39" s="199" t="s">
        <v>241</v>
      </c>
      <c r="C39" s="201" t="s">
        <v>31</v>
      </c>
      <c r="D39" s="200" t="s">
        <v>242</v>
      </c>
      <c r="E39" s="214" t="s">
        <v>243</v>
      </c>
      <c r="F39" s="202" t="s">
        <v>171</v>
      </c>
      <c r="G39" s="170"/>
    </row>
    <row r="40">
      <c r="A40" s="170"/>
      <c r="B40" s="199" t="s">
        <v>244</v>
      </c>
      <c r="C40" s="201" t="s">
        <v>31</v>
      </c>
      <c r="D40" s="215" t="s">
        <v>245</v>
      </c>
      <c r="E40" s="213"/>
      <c r="F40" s="202" t="s">
        <v>171</v>
      </c>
      <c r="G40" s="170"/>
    </row>
    <row r="41">
      <c r="A41" s="170"/>
      <c r="B41" s="199" t="s">
        <v>246</v>
      </c>
      <c r="C41" s="201" t="s">
        <v>31</v>
      </c>
      <c r="D41" s="200" t="s">
        <v>247</v>
      </c>
      <c r="E41" s="213"/>
      <c r="F41" s="202" t="s">
        <v>181</v>
      </c>
      <c r="G41" s="170"/>
    </row>
    <row r="42">
      <c r="A42" s="170"/>
      <c r="B42" s="199" t="s">
        <v>248</v>
      </c>
      <c r="C42" s="201" t="s">
        <v>183</v>
      </c>
      <c r="D42" s="200" t="s">
        <v>249</v>
      </c>
      <c r="E42" s="213"/>
      <c r="F42" s="202" t="s">
        <v>171</v>
      </c>
      <c r="G42" s="170"/>
    </row>
    <row r="43">
      <c r="A43" s="170"/>
      <c r="B43" s="202" t="s">
        <v>250</v>
      </c>
      <c r="C43" s="205" t="s">
        <v>183</v>
      </c>
      <c r="D43" s="204" t="s">
        <v>251</v>
      </c>
      <c r="E43" s="216"/>
      <c r="F43" s="202" t="s">
        <v>171</v>
      </c>
      <c r="G43" s="170"/>
    </row>
    <row r="44">
      <c r="A44" s="170"/>
      <c r="B44" s="217" t="s">
        <v>252</v>
      </c>
      <c r="C44" s="205" t="s">
        <v>183</v>
      </c>
      <c r="D44" s="218" t="s">
        <v>253</v>
      </c>
      <c r="E44" s="213"/>
      <c r="F44" s="202" t="s">
        <v>171</v>
      </c>
      <c r="G44" s="170"/>
    </row>
    <row r="45">
      <c r="A45" s="170"/>
      <c r="B45" s="217" t="s">
        <v>254</v>
      </c>
      <c r="C45" s="205" t="s">
        <v>31</v>
      </c>
      <c r="D45" s="219" t="s">
        <v>255</v>
      </c>
      <c r="E45" s="216"/>
      <c r="F45" s="202" t="s">
        <v>164</v>
      </c>
      <c r="G45" s="170"/>
    </row>
    <row r="46">
      <c r="A46" s="170"/>
      <c r="B46" s="220" t="s">
        <v>256</v>
      </c>
      <c r="C46" s="220" t="s">
        <v>192</v>
      </c>
      <c r="D46" s="221" t="s">
        <v>257</v>
      </c>
      <c r="E46" s="170"/>
      <c r="F46" s="170"/>
      <c r="G46" s="170"/>
    </row>
    <row r="47">
      <c r="A47" s="170"/>
      <c r="C47" s="170"/>
      <c r="D47" s="170"/>
      <c r="E47" s="170"/>
      <c r="F47" s="170"/>
      <c r="G47" s="170"/>
    </row>
    <row r="48">
      <c r="A48" s="170"/>
      <c r="B48" s="222" t="s">
        <v>258</v>
      </c>
      <c r="C48" s="170"/>
      <c r="D48" s="170"/>
      <c r="E48" s="170"/>
      <c r="F48" s="170"/>
      <c r="G48" s="170"/>
    </row>
    <row r="49">
      <c r="A49" s="170"/>
      <c r="B49" s="222" t="s">
        <v>259</v>
      </c>
      <c r="C49" s="164" t="s">
        <v>260</v>
      </c>
      <c r="D49" s="170"/>
      <c r="E49" s="170"/>
      <c r="F49" s="170"/>
      <c r="G49" s="170"/>
    </row>
    <row r="50">
      <c r="A50" s="170"/>
      <c r="B50" s="164" t="s">
        <v>261</v>
      </c>
      <c r="C50" s="170"/>
      <c r="D50" s="170"/>
      <c r="E50" s="170"/>
      <c r="F50" s="170"/>
      <c r="G50" s="170"/>
    </row>
    <row r="51">
      <c r="A51" s="170"/>
      <c r="B51" s="164" t="s">
        <v>262</v>
      </c>
      <c r="C51" s="223" t="s">
        <v>263</v>
      </c>
      <c r="D51" s="223" t="s">
        <v>264</v>
      </c>
      <c r="E51" s="170"/>
      <c r="F51" s="170"/>
      <c r="G51" s="170"/>
    </row>
    <row r="52">
      <c r="A52" s="170"/>
      <c r="B52" s="164" t="s">
        <v>265</v>
      </c>
      <c r="C52" s="223" t="s">
        <v>266</v>
      </c>
      <c r="D52" s="170"/>
      <c r="E52" s="170"/>
      <c r="F52" s="170"/>
      <c r="G52" s="170"/>
    </row>
    <row r="53">
      <c r="A53" s="170"/>
      <c r="B53" s="164" t="s">
        <v>267</v>
      </c>
      <c r="C53" s="170"/>
      <c r="D53" s="170"/>
      <c r="E53" s="170"/>
      <c r="F53" s="170"/>
      <c r="G53" s="170"/>
    </row>
    <row r="54">
      <c r="A54" s="170"/>
      <c r="B54" s="170"/>
      <c r="C54" s="170"/>
      <c r="D54" s="170"/>
      <c r="E54" s="170"/>
      <c r="F54" s="170"/>
      <c r="G54" s="170"/>
    </row>
    <row r="55">
      <c r="A55" s="170"/>
      <c r="B55" s="170"/>
      <c r="C55" s="170"/>
      <c r="D55" s="170"/>
      <c r="E55" s="170"/>
      <c r="F55" s="170"/>
      <c r="G55" s="170"/>
    </row>
    <row r="56">
      <c r="A56" s="170"/>
      <c r="B56" s="170"/>
      <c r="C56" s="170"/>
      <c r="D56" s="170"/>
      <c r="E56" s="170"/>
      <c r="F56" s="170"/>
      <c r="G56" s="170"/>
    </row>
    <row r="57">
      <c r="A57" s="170"/>
      <c r="B57" s="170"/>
      <c r="C57" s="170"/>
      <c r="D57" s="170"/>
      <c r="E57" s="170"/>
      <c r="F57" s="170"/>
      <c r="G57" s="170"/>
    </row>
    <row r="58">
      <c r="A58" s="170"/>
      <c r="B58" s="170"/>
      <c r="C58" s="170"/>
      <c r="D58" s="170"/>
      <c r="E58" s="170"/>
      <c r="F58" s="170"/>
      <c r="G58" s="170"/>
    </row>
    <row r="59">
      <c r="A59" s="170"/>
      <c r="B59" s="170"/>
      <c r="C59" s="170"/>
      <c r="D59" s="170"/>
      <c r="E59" s="170"/>
      <c r="F59" s="170"/>
      <c r="G59" s="170"/>
    </row>
    <row r="60">
      <c r="A60" s="170"/>
      <c r="B60" s="170"/>
      <c r="C60" s="170"/>
      <c r="D60" s="170"/>
      <c r="E60" s="170"/>
      <c r="F60" s="170"/>
      <c r="G60" s="170"/>
    </row>
    <row r="61">
      <c r="A61" s="170"/>
      <c r="B61" s="170"/>
      <c r="C61" s="170"/>
      <c r="D61" s="170"/>
      <c r="E61" s="170"/>
      <c r="F61" s="170"/>
      <c r="G61" s="170"/>
    </row>
    <row r="62">
      <c r="A62" s="170"/>
      <c r="B62" s="170"/>
      <c r="C62" s="170"/>
      <c r="D62" s="170"/>
      <c r="E62" s="170"/>
      <c r="F62" s="170"/>
      <c r="G62" s="170"/>
    </row>
    <row r="63">
      <c r="A63" s="170"/>
      <c r="B63" s="170"/>
      <c r="C63" s="170"/>
      <c r="D63" s="170"/>
      <c r="E63" s="170"/>
      <c r="F63" s="170"/>
      <c r="G63" s="170"/>
    </row>
    <row r="64">
      <c r="A64" s="170"/>
      <c r="B64" s="170"/>
      <c r="C64" s="170"/>
      <c r="D64" s="170"/>
      <c r="E64" s="170"/>
      <c r="F64" s="170"/>
      <c r="G64" s="170"/>
    </row>
    <row r="65">
      <c r="A65" s="170"/>
      <c r="B65" s="170"/>
      <c r="C65" s="170"/>
      <c r="D65" s="170"/>
      <c r="E65" s="170"/>
      <c r="F65" s="170"/>
      <c r="G65" s="170"/>
    </row>
    <row r="66">
      <c r="A66" s="170"/>
      <c r="B66" s="170"/>
      <c r="C66" s="170"/>
      <c r="D66" s="170"/>
      <c r="E66" s="170"/>
      <c r="F66" s="170"/>
      <c r="G66" s="170"/>
    </row>
    <row r="67">
      <c r="A67" s="170"/>
      <c r="B67" s="170"/>
      <c r="C67" s="170"/>
      <c r="D67" s="170"/>
      <c r="E67" s="170"/>
      <c r="F67" s="170"/>
      <c r="G67" s="170"/>
    </row>
    <row r="68">
      <c r="A68" s="170"/>
      <c r="B68" s="170"/>
      <c r="C68" s="170"/>
      <c r="D68" s="170"/>
      <c r="E68" s="170"/>
      <c r="F68" s="170"/>
      <c r="G68" s="170"/>
    </row>
    <row r="69">
      <c r="A69" s="170"/>
      <c r="B69" s="170"/>
      <c r="C69" s="170"/>
      <c r="D69" s="170"/>
      <c r="E69" s="170"/>
      <c r="F69" s="170"/>
      <c r="G69" s="170"/>
    </row>
    <row r="70">
      <c r="A70" s="170"/>
      <c r="B70" s="170"/>
      <c r="C70" s="170"/>
      <c r="D70" s="170"/>
      <c r="E70" s="170"/>
      <c r="F70" s="170"/>
      <c r="G70" s="170"/>
    </row>
    <row r="71">
      <c r="A71" s="170"/>
      <c r="B71" s="170"/>
      <c r="C71" s="170"/>
      <c r="D71" s="170"/>
      <c r="E71" s="170"/>
      <c r="F71" s="170"/>
      <c r="G71" s="170"/>
    </row>
    <row r="72">
      <c r="A72" s="170"/>
      <c r="B72" s="170"/>
      <c r="C72" s="170"/>
      <c r="D72" s="170"/>
      <c r="E72" s="170"/>
      <c r="F72" s="170"/>
      <c r="G72" s="170"/>
    </row>
    <row r="73">
      <c r="A73" s="170"/>
      <c r="B73" s="170"/>
      <c r="C73" s="170"/>
      <c r="D73" s="170"/>
      <c r="E73" s="170"/>
      <c r="F73" s="170"/>
      <c r="G73" s="170"/>
    </row>
    <row r="74">
      <c r="A74" s="170"/>
      <c r="B74" s="170"/>
      <c r="C74" s="170"/>
      <c r="D74" s="170"/>
      <c r="E74" s="170"/>
      <c r="F74" s="170"/>
      <c r="G74" s="170"/>
    </row>
    <row r="75">
      <c r="A75" s="170"/>
      <c r="B75" s="170"/>
      <c r="C75" s="170"/>
      <c r="D75" s="170"/>
      <c r="E75" s="170"/>
      <c r="F75" s="170"/>
      <c r="G75" s="170"/>
    </row>
    <row r="76">
      <c r="A76" s="170"/>
      <c r="B76" s="170"/>
      <c r="C76" s="170"/>
      <c r="D76" s="170"/>
      <c r="E76" s="170"/>
      <c r="F76" s="170"/>
      <c r="G76" s="170"/>
    </row>
    <row r="77">
      <c r="A77" s="170"/>
      <c r="B77" s="170"/>
      <c r="C77" s="170"/>
      <c r="D77" s="170"/>
      <c r="E77" s="170"/>
      <c r="F77" s="170"/>
      <c r="G77" s="170"/>
    </row>
    <row r="78">
      <c r="A78" s="170"/>
      <c r="B78" s="170"/>
      <c r="C78" s="170"/>
      <c r="D78" s="170"/>
      <c r="E78" s="170"/>
      <c r="F78" s="170"/>
      <c r="G78" s="170"/>
    </row>
    <row r="79">
      <c r="A79" s="170"/>
      <c r="E79" s="170"/>
      <c r="F79" s="170"/>
      <c r="G79" s="170"/>
    </row>
    <row r="80">
      <c r="A80" s="170"/>
      <c r="B80" s="170"/>
      <c r="C80" s="170"/>
      <c r="D80" s="170"/>
      <c r="E80" s="170"/>
      <c r="F80" s="170"/>
      <c r="G80" s="170"/>
    </row>
    <row r="81">
      <c r="A81" s="170"/>
      <c r="B81" s="170"/>
      <c r="C81" s="170"/>
      <c r="D81" s="170"/>
      <c r="E81" s="170"/>
      <c r="F81" s="170"/>
      <c r="G81" s="170"/>
    </row>
    <row r="82">
      <c r="A82" s="170"/>
      <c r="B82" s="170"/>
      <c r="C82" s="170"/>
      <c r="D82" s="170"/>
      <c r="E82" s="170"/>
      <c r="F82" s="170"/>
      <c r="G82" s="170"/>
    </row>
    <row r="83">
      <c r="A83" s="170"/>
      <c r="B83" s="170"/>
      <c r="C83" s="170"/>
      <c r="D83" s="170"/>
      <c r="E83" s="170"/>
      <c r="F83" s="170"/>
      <c r="G83" s="170"/>
    </row>
    <row r="84">
      <c r="A84" s="170"/>
      <c r="B84" s="170"/>
      <c r="C84" s="170"/>
      <c r="D84" s="170"/>
      <c r="E84" s="170"/>
      <c r="F84" s="170"/>
      <c r="G84" s="170"/>
    </row>
    <row r="85">
      <c r="A85" s="170"/>
      <c r="B85" s="170"/>
      <c r="C85" s="170"/>
      <c r="D85" s="170"/>
      <c r="E85" s="170"/>
      <c r="F85" s="170"/>
      <c r="G85" s="170"/>
    </row>
    <row r="86">
      <c r="A86" s="170"/>
      <c r="B86" s="170"/>
      <c r="C86" s="170"/>
      <c r="D86" s="170"/>
      <c r="E86" s="170"/>
      <c r="F86" s="170"/>
      <c r="G86" s="170"/>
    </row>
    <row r="87">
      <c r="A87" s="170"/>
      <c r="B87" s="170"/>
      <c r="C87" s="170"/>
      <c r="D87" s="170"/>
      <c r="E87" s="170"/>
      <c r="F87" s="170"/>
      <c r="G87" s="170"/>
    </row>
    <row r="88">
      <c r="A88" s="170"/>
      <c r="B88" s="170"/>
      <c r="C88" s="170"/>
      <c r="D88" s="170"/>
      <c r="E88" s="170"/>
      <c r="F88" s="170"/>
      <c r="G88" s="170"/>
    </row>
    <row r="89">
      <c r="A89" s="170"/>
      <c r="B89" s="170"/>
      <c r="C89" s="170"/>
      <c r="D89" s="170"/>
      <c r="E89" s="170"/>
      <c r="F89" s="170"/>
      <c r="G89" s="170"/>
    </row>
    <row r="90">
      <c r="A90" s="170"/>
      <c r="B90" s="170"/>
      <c r="C90" s="170"/>
      <c r="D90" s="170"/>
      <c r="E90" s="170"/>
      <c r="F90" s="170"/>
      <c r="G90" s="170"/>
    </row>
    <row r="91">
      <c r="A91" s="170"/>
      <c r="B91" s="170"/>
      <c r="C91" s="170"/>
      <c r="D91" s="170"/>
      <c r="E91" s="170"/>
      <c r="F91" s="170"/>
      <c r="G91" s="170"/>
    </row>
    <row r="92">
      <c r="A92" s="170"/>
      <c r="B92" s="170"/>
      <c r="C92" s="170"/>
      <c r="D92" s="170"/>
      <c r="E92" s="170"/>
      <c r="F92" s="170"/>
      <c r="G92" s="170"/>
    </row>
    <row r="93">
      <c r="A93" s="170"/>
      <c r="B93" s="170"/>
      <c r="C93" s="170"/>
      <c r="D93" s="170"/>
      <c r="E93" s="170"/>
      <c r="F93" s="170"/>
      <c r="G93" s="170"/>
    </row>
    <row r="94">
      <c r="A94" s="170"/>
      <c r="B94" s="170"/>
      <c r="C94" s="170"/>
      <c r="D94" s="170"/>
      <c r="E94" s="170"/>
      <c r="F94" s="170"/>
      <c r="G94" s="170"/>
    </row>
    <row r="95">
      <c r="A95" s="170"/>
      <c r="B95" s="170"/>
      <c r="C95" s="170"/>
      <c r="D95" s="170"/>
      <c r="E95" s="170"/>
      <c r="F95" s="170"/>
      <c r="G95" s="170"/>
    </row>
    <row r="96">
      <c r="A96" s="170"/>
      <c r="B96" s="170"/>
      <c r="C96" s="170"/>
      <c r="D96" s="170"/>
      <c r="E96" s="170"/>
      <c r="F96" s="170"/>
      <c r="G96" s="170"/>
    </row>
    <row r="97">
      <c r="A97" s="170"/>
      <c r="B97" s="170"/>
      <c r="C97" s="170"/>
      <c r="D97" s="170"/>
      <c r="E97" s="170"/>
      <c r="F97" s="170"/>
      <c r="G97" s="170"/>
    </row>
    <row r="98">
      <c r="A98" s="170"/>
      <c r="B98" s="170"/>
      <c r="C98" s="170"/>
      <c r="D98" s="170"/>
      <c r="E98" s="170"/>
      <c r="F98" s="170"/>
      <c r="G98" s="170"/>
    </row>
    <row r="99">
      <c r="A99" s="170"/>
      <c r="B99" s="170"/>
      <c r="C99" s="170"/>
      <c r="D99" s="170"/>
      <c r="E99" s="170"/>
      <c r="F99" s="170"/>
      <c r="G99" s="170"/>
    </row>
    <row r="100">
      <c r="A100" s="170"/>
      <c r="B100" s="170"/>
      <c r="C100" s="170"/>
      <c r="D100" s="170"/>
      <c r="E100" s="170"/>
      <c r="F100" s="170"/>
      <c r="G100" s="170"/>
    </row>
    <row r="101">
      <c r="A101" s="170"/>
      <c r="B101" s="170"/>
      <c r="C101" s="170"/>
      <c r="D101" s="170"/>
      <c r="E101" s="170"/>
      <c r="F101" s="170"/>
      <c r="G101" s="170"/>
    </row>
    <row r="102">
      <c r="A102" s="170"/>
      <c r="B102" s="170"/>
      <c r="C102" s="170"/>
      <c r="D102" s="170"/>
      <c r="E102" s="170"/>
      <c r="F102" s="170"/>
      <c r="G102" s="170"/>
    </row>
    <row r="103">
      <c r="A103" s="170"/>
      <c r="B103" s="170"/>
      <c r="C103" s="170"/>
      <c r="D103" s="170"/>
      <c r="E103" s="170"/>
      <c r="F103" s="170"/>
      <c r="G103" s="170"/>
    </row>
    <row r="104">
      <c r="A104" s="170"/>
      <c r="B104" s="170"/>
      <c r="C104" s="170"/>
      <c r="D104" s="170"/>
      <c r="E104" s="170"/>
      <c r="F104" s="170"/>
      <c r="G104" s="170"/>
    </row>
    <row r="105">
      <c r="A105" s="170"/>
      <c r="B105" s="170"/>
      <c r="C105" s="170"/>
      <c r="D105" s="170"/>
      <c r="E105" s="170"/>
      <c r="F105" s="170"/>
      <c r="G105" s="170"/>
    </row>
    <row r="106">
      <c r="A106" s="170"/>
      <c r="B106" s="170"/>
      <c r="C106" s="170"/>
      <c r="D106" s="170"/>
      <c r="E106" s="170"/>
      <c r="F106" s="170"/>
      <c r="G106" s="170"/>
    </row>
    <row r="107">
      <c r="A107" s="170"/>
      <c r="B107" s="170"/>
      <c r="C107" s="170"/>
      <c r="D107" s="170"/>
      <c r="E107" s="170"/>
      <c r="F107" s="170"/>
      <c r="G107" s="170"/>
    </row>
    <row r="108">
      <c r="A108" s="170"/>
      <c r="B108" s="170"/>
      <c r="C108" s="170"/>
      <c r="D108" s="170"/>
      <c r="E108" s="170"/>
      <c r="F108" s="170"/>
      <c r="G108" s="170"/>
    </row>
    <row r="109">
      <c r="A109" s="170"/>
      <c r="B109" s="170"/>
      <c r="C109" s="170"/>
      <c r="D109" s="170"/>
      <c r="E109" s="170"/>
      <c r="F109" s="170"/>
      <c r="G109" s="170"/>
    </row>
    <row r="110">
      <c r="A110" s="170"/>
      <c r="B110" s="170"/>
      <c r="C110" s="170"/>
      <c r="D110" s="170"/>
      <c r="E110" s="170"/>
      <c r="F110" s="170"/>
      <c r="G110" s="170"/>
    </row>
    <row r="111">
      <c r="A111" s="170"/>
      <c r="B111" s="170"/>
      <c r="C111" s="170"/>
      <c r="D111" s="170"/>
      <c r="E111" s="170"/>
      <c r="F111" s="170"/>
      <c r="G111" s="170"/>
    </row>
    <row r="112">
      <c r="A112" s="170"/>
      <c r="B112" s="170"/>
      <c r="C112" s="170"/>
      <c r="D112" s="170"/>
      <c r="E112" s="170"/>
      <c r="F112" s="170"/>
      <c r="G112" s="170"/>
    </row>
    <row r="113">
      <c r="A113" s="170"/>
      <c r="B113" s="170"/>
      <c r="C113" s="170"/>
      <c r="D113" s="170"/>
      <c r="E113" s="170"/>
      <c r="F113" s="170"/>
      <c r="G113" s="170"/>
    </row>
    <row r="114">
      <c r="A114" s="170"/>
      <c r="B114" s="170"/>
      <c r="C114" s="170"/>
      <c r="D114" s="170"/>
      <c r="E114" s="170"/>
      <c r="F114" s="170"/>
      <c r="G114" s="170"/>
    </row>
    <row r="115">
      <c r="A115" s="170"/>
      <c r="B115" s="170"/>
      <c r="C115" s="170"/>
      <c r="D115" s="170"/>
      <c r="E115" s="170"/>
      <c r="F115" s="170"/>
      <c r="G115" s="170"/>
    </row>
    <row r="116">
      <c r="A116" s="170"/>
      <c r="B116" s="170"/>
      <c r="C116" s="170"/>
      <c r="D116" s="170"/>
      <c r="E116" s="170"/>
      <c r="F116" s="170"/>
      <c r="G116" s="170"/>
    </row>
    <row r="117">
      <c r="A117" s="170"/>
      <c r="B117" s="170"/>
      <c r="C117" s="170"/>
      <c r="D117" s="170"/>
      <c r="E117" s="170"/>
      <c r="F117" s="170"/>
      <c r="G117" s="170"/>
    </row>
    <row r="118">
      <c r="A118" s="170"/>
      <c r="B118" s="170"/>
      <c r="C118" s="170"/>
      <c r="D118" s="170"/>
      <c r="E118" s="170"/>
      <c r="F118" s="170"/>
      <c r="G118" s="170"/>
    </row>
    <row r="119">
      <c r="A119" s="170"/>
      <c r="B119" s="170"/>
      <c r="C119" s="170"/>
      <c r="D119" s="170"/>
      <c r="E119" s="170"/>
      <c r="F119" s="170"/>
      <c r="G119" s="170"/>
    </row>
    <row r="120">
      <c r="A120" s="170"/>
      <c r="B120" s="170"/>
      <c r="C120" s="170"/>
      <c r="D120" s="170"/>
      <c r="E120" s="170"/>
      <c r="F120" s="170"/>
      <c r="G120" s="170"/>
    </row>
    <row r="121">
      <c r="A121" s="170"/>
      <c r="B121" s="170"/>
      <c r="C121" s="170"/>
      <c r="D121" s="170"/>
      <c r="E121" s="170"/>
      <c r="F121" s="170"/>
      <c r="G121" s="170"/>
    </row>
    <row r="122">
      <c r="A122" s="170"/>
      <c r="B122" s="170"/>
      <c r="C122" s="170"/>
      <c r="D122" s="170"/>
      <c r="E122" s="170"/>
      <c r="F122" s="170"/>
      <c r="G122" s="170"/>
    </row>
    <row r="123">
      <c r="A123" s="170"/>
      <c r="B123" s="170"/>
      <c r="C123" s="170"/>
      <c r="D123" s="170"/>
      <c r="E123" s="170"/>
      <c r="F123" s="170"/>
      <c r="G123" s="170"/>
    </row>
    <row r="124">
      <c r="A124" s="170"/>
      <c r="B124" s="170"/>
      <c r="C124" s="170"/>
      <c r="D124" s="170"/>
      <c r="E124" s="170"/>
      <c r="F124" s="170"/>
      <c r="G124" s="170"/>
    </row>
    <row r="125">
      <c r="A125" s="170"/>
      <c r="B125" s="170"/>
      <c r="C125" s="170"/>
      <c r="D125" s="170"/>
      <c r="E125" s="170"/>
      <c r="F125" s="170"/>
      <c r="G125" s="170"/>
    </row>
    <row r="126">
      <c r="A126" s="170"/>
      <c r="B126" s="170"/>
      <c r="C126" s="170"/>
      <c r="D126" s="170"/>
      <c r="E126" s="170"/>
      <c r="F126" s="170"/>
      <c r="G126" s="170"/>
    </row>
    <row r="127">
      <c r="A127" s="170"/>
      <c r="B127" s="170"/>
      <c r="C127" s="170"/>
      <c r="D127" s="170"/>
      <c r="E127" s="170"/>
      <c r="F127" s="170"/>
      <c r="G127" s="170"/>
    </row>
    <row r="128">
      <c r="A128" s="170"/>
      <c r="B128" s="170"/>
      <c r="C128" s="170"/>
      <c r="D128" s="170"/>
      <c r="E128" s="170"/>
      <c r="F128" s="170"/>
      <c r="G128" s="170"/>
    </row>
    <row r="129">
      <c r="A129" s="170"/>
      <c r="B129" s="170"/>
      <c r="C129" s="170"/>
      <c r="D129" s="170"/>
      <c r="E129" s="170"/>
      <c r="F129" s="170"/>
      <c r="G129" s="170"/>
    </row>
    <row r="130">
      <c r="A130" s="170"/>
      <c r="B130" s="170"/>
      <c r="C130" s="170"/>
      <c r="D130" s="170"/>
      <c r="E130" s="170"/>
      <c r="F130" s="170"/>
      <c r="G130" s="170"/>
    </row>
    <row r="131">
      <c r="A131" s="170"/>
      <c r="B131" s="170"/>
      <c r="C131" s="170"/>
      <c r="D131" s="170"/>
      <c r="E131" s="170"/>
      <c r="F131" s="170"/>
      <c r="G131" s="170"/>
    </row>
    <row r="132">
      <c r="A132" s="170"/>
      <c r="B132" s="170"/>
      <c r="C132" s="170"/>
      <c r="D132" s="170"/>
      <c r="E132" s="170"/>
      <c r="F132" s="170"/>
      <c r="G132" s="170"/>
    </row>
    <row r="133">
      <c r="A133" s="170"/>
      <c r="B133" s="170"/>
      <c r="C133" s="170"/>
      <c r="D133" s="170"/>
      <c r="E133" s="170"/>
      <c r="F133" s="170"/>
      <c r="G133" s="170"/>
    </row>
    <row r="134">
      <c r="A134" s="170"/>
      <c r="B134" s="170"/>
      <c r="C134" s="170"/>
      <c r="D134" s="170"/>
      <c r="E134" s="170"/>
      <c r="F134" s="170"/>
      <c r="G134" s="170"/>
    </row>
    <row r="135">
      <c r="A135" s="170"/>
      <c r="B135" s="170"/>
      <c r="C135" s="170"/>
      <c r="D135" s="170"/>
      <c r="E135" s="170"/>
      <c r="F135" s="170"/>
      <c r="G135" s="170"/>
    </row>
    <row r="136">
      <c r="A136" s="170"/>
      <c r="B136" s="170"/>
      <c r="C136" s="170"/>
      <c r="D136" s="170"/>
      <c r="E136" s="170"/>
      <c r="F136" s="170"/>
      <c r="G136" s="170"/>
    </row>
    <row r="137">
      <c r="A137" s="170"/>
      <c r="B137" s="170"/>
      <c r="C137" s="170"/>
      <c r="D137" s="170"/>
      <c r="E137" s="170"/>
      <c r="F137" s="170"/>
      <c r="G137" s="170"/>
    </row>
    <row r="138">
      <c r="A138" s="170"/>
      <c r="B138" s="170"/>
      <c r="C138" s="170"/>
      <c r="D138" s="170"/>
      <c r="E138" s="170"/>
      <c r="F138" s="170"/>
      <c r="G138" s="170"/>
    </row>
    <row r="139">
      <c r="A139" s="170"/>
      <c r="B139" s="170"/>
      <c r="C139" s="170"/>
      <c r="D139" s="170"/>
      <c r="E139" s="170"/>
      <c r="F139" s="170"/>
      <c r="G139" s="170"/>
    </row>
    <row r="140">
      <c r="A140" s="170"/>
      <c r="B140" s="170"/>
      <c r="C140" s="170"/>
      <c r="D140" s="170"/>
      <c r="E140" s="170"/>
      <c r="F140" s="170"/>
      <c r="G140" s="170"/>
    </row>
    <row r="141">
      <c r="A141" s="170"/>
      <c r="B141" s="170"/>
      <c r="C141" s="170"/>
      <c r="D141" s="170"/>
      <c r="E141" s="170"/>
      <c r="F141" s="170"/>
      <c r="G141" s="170"/>
    </row>
    <row r="142">
      <c r="A142" s="170"/>
      <c r="B142" s="170"/>
      <c r="C142" s="170"/>
      <c r="D142" s="170"/>
      <c r="E142" s="170"/>
      <c r="F142" s="170"/>
      <c r="G142" s="170"/>
    </row>
    <row r="143">
      <c r="A143" s="170"/>
      <c r="B143" s="170"/>
      <c r="C143" s="170"/>
      <c r="D143" s="170"/>
      <c r="E143" s="170"/>
      <c r="F143" s="170"/>
      <c r="G143" s="170"/>
    </row>
    <row r="144">
      <c r="A144" s="170"/>
      <c r="B144" s="170"/>
      <c r="C144" s="170"/>
      <c r="D144" s="170"/>
      <c r="E144" s="170"/>
      <c r="F144" s="170"/>
      <c r="G144" s="170"/>
    </row>
    <row r="145">
      <c r="A145" s="170"/>
      <c r="B145" s="170"/>
      <c r="C145" s="170"/>
      <c r="D145" s="170"/>
      <c r="E145" s="170"/>
      <c r="F145" s="170"/>
      <c r="G145" s="170"/>
    </row>
    <row r="146">
      <c r="A146" s="170"/>
      <c r="B146" s="170"/>
      <c r="C146" s="170"/>
      <c r="D146" s="170"/>
      <c r="E146" s="170"/>
      <c r="F146" s="170"/>
      <c r="G146" s="170"/>
    </row>
    <row r="147">
      <c r="A147" s="170"/>
      <c r="B147" s="170"/>
      <c r="C147" s="170"/>
      <c r="D147" s="170"/>
      <c r="E147" s="170"/>
      <c r="F147" s="170"/>
      <c r="G147" s="170"/>
    </row>
    <row r="148">
      <c r="A148" s="170"/>
      <c r="B148" s="170"/>
      <c r="C148" s="170"/>
      <c r="D148" s="170"/>
      <c r="E148" s="170"/>
      <c r="F148" s="170"/>
      <c r="G148" s="170"/>
    </row>
    <row r="149">
      <c r="A149" s="170"/>
      <c r="B149" s="170"/>
      <c r="C149" s="170"/>
      <c r="D149" s="170"/>
      <c r="E149" s="170"/>
      <c r="F149" s="170"/>
      <c r="G149" s="170"/>
    </row>
    <row r="150">
      <c r="A150" s="170"/>
      <c r="B150" s="170"/>
      <c r="C150" s="170"/>
      <c r="D150" s="170"/>
      <c r="E150" s="170"/>
      <c r="F150" s="170"/>
      <c r="G150" s="170"/>
    </row>
    <row r="151">
      <c r="A151" s="170"/>
      <c r="B151" s="170"/>
      <c r="C151" s="170"/>
      <c r="D151" s="170"/>
      <c r="E151" s="170"/>
      <c r="F151" s="170"/>
      <c r="G151" s="170"/>
    </row>
    <row r="152">
      <c r="A152" s="170"/>
      <c r="B152" s="170"/>
      <c r="C152" s="170"/>
      <c r="D152" s="170"/>
      <c r="E152" s="170"/>
      <c r="F152" s="170"/>
      <c r="G152" s="170"/>
    </row>
    <row r="153">
      <c r="A153" s="170"/>
      <c r="B153" s="170"/>
      <c r="C153" s="170"/>
      <c r="D153" s="170"/>
      <c r="E153" s="170"/>
      <c r="F153" s="170"/>
      <c r="G153" s="170"/>
    </row>
    <row r="154">
      <c r="A154" s="170"/>
      <c r="B154" s="170"/>
      <c r="C154" s="170"/>
      <c r="D154" s="170"/>
      <c r="E154" s="170"/>
      <c r="F154" s="170"/>
      <c r="G154" s="170"/>
    </row>
    <row r="155">
      <c r="A155" s="170"/>
      <c r="B155" s="170"/>
      <c r="C155" s="170"/>
      <c r="D155" s="170"/>
      <c r="E155" s="170"/>
      <c r="F155" s="170"/>
      <c r="G155" s="170"/>
    </row>
    <row r="156">
      <c r="A156" s="170"/>
      <c r="B156" s="170"/>
      <c r="C156" s="170"/>
      <c r="D156" s="170"/>
      <c r="E156" s="170"/>
      <c r="F156" s="170"/>
      <c r="G156" s="170"/>
    </row>
    <row r="157">
      <c r="A157" s="170"/>
      <c r="B157" s="170"/>
      <c r="C157" s="170"/>
      <c r="D157" s="170"/>
      <c r="E157" s="170"/>
      <c r="F157" s="170"/>
      <c r="G157" s="170"/>
    </row>
    <row r="158">
      <c r="A158" s="170"/>
      <c r="B158" s="170"/>
      <c r="C158" s="170"/>
      <c r="D158" s="170"/>
      <c r="E158" s="170"/>
      <c r="F158" s="170"/>
      <c r="G158" s="170"/>
    </row>
    <row r="159">
      <c r="A159" s="170"/>
      <c r="B159" s="170"/>
      <c r="C159" s="170"/>
      <c r="D159" s="170"/>
      <c r="E159" s="170"/>
      <c r="F159" s="170"/>
      <c r="G159" s="170"/>
    </row>
    <row r="160">
      <c r="A160" s="170"/>
      <c r="B160" s="170"/>
      <c r="C160" s="170"/>
      <c r="D160" s="170"/>
      <c r="E160" s="170"/>
      <c r="F160" s="170"/>
      <c r="G160" s="170"/>
    </row>
    <row r="161">
      <c r="A161" s="170"/>
      <c r="B161" s="170"/>
      <c r="C161" s="170"/>
      <c r="D161" s="170"/>
      <c r="E161" s="170"/>
      <c r="F161" s="170"/>
      <c r="G161" s="170"/>
    </row>
    <row r="162">
      <c r="A162" s="170"/>
      <c r="B162" s="170"/>
      <c r="C162" s="170"/>
      <c r="D162" s="170"/>
      <c r="E162" s="170"/>
      <c r="F162" s="170"/>
      <c r="G162" s="170"/>
    </row>
    <row r="163">
      <c r="A163" s="170"/>
      <c r="B163" s="170"/>
      <c r="C163" s="170"/>
      <c r="D163" s="170"/>
      <c r="E163" s="170"/>
      <c r="F163" s="170"/>
      <c r="G163" s="170"/>
    </row>
    <row r="164">
      <c r="A164" s="170"/>
      <c r="B164" s="170"/>
      <c r="C164" s="170"/>
      <c r="D164" s="170"/>
      <c r="E164" s="170"/>
      <c r="F164" s="170"/>
      <c r="G164" s="170"/>
    </row>
    <row r="165">
      <c r="A165" s="170"/>
      <c r="B165" s="170"/>
      <c r="C165" s="170"/>
      <c r="D165" s="170"/>
      <c r="E165" s="170"/>
      <c r="F165" s="170"/>
      <c r="G165" s="170"/>
    </row>
    <row r="166">
      <c r="A166" s="170"/>
      <c r="B166" s="170"/>
      <c r="C166" s="170"/>
      <c r="D166" s="170"/>
      <c r="E166" s="170"/>
      <c r="F166" s="170"/>
      <c r="G166" s="170"/>
    </row>
    <row r="167">
      <c r="A167" s="170"/>
      <c r="B167" s="170"/>
      <c r="C167" s="170"/>
      <c r="D167" s="170"/>
      <c r="E167" s="170"/>
      <c r="F167" s="170"/>
      <c r="G167" s="170"/>
    </row>
    <row r="168">
      <c r="A168" s="170"/>
      <c r="B168" s="170"/>
      <c r="C168" s="170"/>
      <c r="D168" s="170"/>
      <c r="E168" s="170"/>
      <c r="F168" s="170"/>
      <c r="G168" s="170"/>
    </row>
    <row r="169">
      <c r="A169" s="170"/>
      <c r="B169" s="170"/>
      <c r="C169" s="170"/>
      <c r="D169" s="170"/>
      <c r="E169" s="170"/>
      <c r="F169" s="170"/>
      <c r="G169" s="170"/>
    </row>
    <row r="170">
      <c r="A170" s="170"/>
      <c r="B170" s="170"/>
      <c r="C170" s="170"/>
      <c r="D170" s="170"/>
      <c r="E170" s="170"/>
      <c r="F170" s="170"/>
      <c r="G170" s="170"/>
    </row>
    <row r="171">
      <c r="A171" s="170"/>
      <c r="B171" s="170"/>
      <c r="C171" s="170"/>
      <c r="D171" s="170"/>
      <c r="E171" s="170"/>
      <c r="F171" s="170"/>
      <c r="G171" s="170"/>
    </row>
    <row r="172">
      <c r="A172" s="170"/>
      <c r="B172" s="170"/>
      <c r="C172" s="170"/>
      <c r="D172" s="170"/>
      <c r="E172" s="170"/>
      <c r="F172" s="170"/>
      <c r="G172" s="170"/>
    </row>
    <row r="173">
      <c r="A173" s="170"/>
      <c r="B173" s="170"/>
      <c r="C173" s="170"/>
      <c r="D173" s="170"/>
      <c r="E173" s="170"/>
      <c r="F173" s="170"/>
      <c r="G173" s="170"/>
    </row>
    <row r="174">
      <c r="A174" s="170"/>
      <c r="B174" s="170"/>
      <c r="C174" s="170"/>
      <c r="D174" s="170"/>
      <c r="E174" s="170"/>
      <c r="F174" s="170"/>
      <c r="G174" s="170"/>
    </row>
    <row r="175">
      <c r="A175" s="170"/>
      <c r="B175" s="170"/>
      <c r="C175" s="170"/>
      <c r="D175" s="170"/>
      <c r="E175" s="170"/>
      <c r="F175" s="170"/>
      <c r="G175" s="170"/>
    </row>
    <row r="176">
      <c r="A176" s="170"/>
      <c r="B176" s="170"/>
      <c r="C176" s="170"/>
      <c r="D176" s="170"/>
      <c r="E176" s="170"/>
      <c r="F176" s="170"/>
      <c r="G176" s="170"/>
    </row>
    <row r="177">
      <c r="A177" s="170"/>
      <c r="B177" s="170"/>
      <c r="C177" s="170"/>
      <c r="D177" s="170"/>
      <c r="E177" s="170"/>
      <c r="F177" s="170"/>
      <c r="G177" s="170"/>
    </row>
    <row r="178">
      <c r="A178" s="170"/>
      <c r="B178" s="170"/>
      <c r="C178" s="170"/>
      <c r="D178" s="170"/>
      <c r="E178" s="170"/>
      <c r="F178" s="170"/>
      <c r="G178" s="170"/>
    </row>
    <row r="179">
      <c r="A179" s="170"/>
      <c r="B179" s="170"/>
      <c r="C179" s="170"/>
      <c r="D179" s="170"/>
      <c r="E179" s="170"/>
      <c r="F179" s="170"/>
      <c r="G179" s="170"/>
    </row>
    <row r="180">
      <c r="A180" s="170"/>
      <c r="B180" s="170"/>
      <c r="C180" s="170"/>
      <c r="D180" s="170"/>
      <c r="E180" s="170"/>
      <c r="F180" s="170"/>
      <c r="G180" s="170"/>
    </row>
    <row r="181">
      <c r="A181" s="170"/>
      <c r="B181" s="170"/>
      <c r="C181" s="170"/>
      <c r="D181" s="170"/>
      <c r="E181" s="170"/>
      <c r="F181" s="170"/>
      <c r="G181" s="170"/>
    </row>
    <row r="182">
      <c r="A182" s="170"/>
      <c r="B182" s="170"/>
      <c r="C182" s="170"/>
      <c r="D182" s="170"/>
      <c r="E182" s="170"/>
      <c r="F182" s="170"/>
      <c r="G182" s="170"/>
    </row>
    <row r="183">
      <c r="A183" s="170"/>
      <c r="B183" s="170"/>
      <c r="C183" s="170"/>
      <c r="D183" s="170"/>
      <c r="E183" s="170"/>
      <c r="F183" s="170"/>
      <c r="G183" s="170"/>
    </row>
    <row r="184">
      <c r="A184" s="170"/>
      <c r="B184" s="170"/>
      <c r="C184" s="170"/>
      <c r="D184" s="170"/>
      <c r="E184" s="170"/>
      <c r="F184" s="170"/>
      <c r="G184" s="170"/>
    </row>
    <row r="185">
      <c r="A185" s="170"/>
      <c r="B185" s="170"/>
      <c r="C185" s="170"/>
      <c r="D185" s="170"/>
      <c r="E185" s="170"/>
      <c r="F185" s="170"/>
      <c r="G185" s="170"/>
    </row>
    <row r="186">
      <c r="A186" s="170"/>
      <c r="B186" s="170"/>
      <c r="C186" s="170"/>
      <c r="D186" s="170"/>
      <c r="E186" s="170"/>
      <c r="F186" s="170"/>
      <c r="G186" s="170"/>
    </row>
    <row r="187">
      <c r="A187" s="170"/>
      <c r="B187" s="170"/>
      <c r="C187" s="170"/>
      <c r="D187" s="170"/>
      <c r="E187" s="170"/>
      <c r="F187" s="170"/>
      <c r="G187" s="170"/>
    </row>
    <row r="188">
      <c r="A188" s="170"/>
      <c r="B188" s="170"/>
      <c r="C188" s="170"/>
      <c r="D188" s="170"/>
      <c r="E188" s="170"/>
      <c r="F188" s="170"/>
      <c r="G188" s="170"/>
    </row>
    <row r="189">
      <c r="A189" s="170"/>
      <c r="B189" s="170"/>
      <c r="C189" s="170"/>
      <c r="D189" s="170"/>
      <c r="E189" s="170"/>
      <c r="F189" s="170"/>
      <c r="G189" s="170"/>
    </row>
    <row r="190">
      <c r="A190" s="170"/>
      <c r="B190" s="170"/>
      <c r="C190" s="170"/>
      <c r="D190" s="170"/>
      <c r="E190" s="170"/>
      <c r="F190" s="170"/>
      <c r="G190" s="170"/>
    </row>
    <row r="191">
      <c r="A191" s="170"/>
      <c r="B191" s="170"/>
      <c r="C191" s="170"/>
      <c r="D191" s="170"/>
      <c r="E191" s="170"/>
      <c r="F191" s="170"/>
      <c r="G191" s="170"/>
    </row>
    <row r="192">
      <c r="A192" s="170"/>
      <c r="B192" s="170"/>
      <c r="C192" s="170"/>
      <c r="D192" s="170"/>
      <c r="E192" s="170"/>
      <c r="F192" s="170"/>
      <c r="G192" s="170"/>
    </row>
    <row r="193">
      <c r="A193" s="170"/>
      <c r="B193" s="170"/>
      <c r="C193" s="170"/>
      <c r="D193" s="170"/>
      <c r="E193" s="170"/>
      <c r="F193" s="170"/>
      <c r="G193" s="170"/>
    </row>
    <row r="194">
      <c r="A194" s="170"/>
      <c r="B194" s="170"/>
      <c r="C194" s="170"/>
      <c r="D194" s="170"/>
      <c r="E194" s="170"/>
      <c r="F194" s="170"/>
      <c r="G194" s="170"/>
    </row>
    <row r="195">
      <c r="A195" s="170"/>
      <c r="B195" s="170"/>
      <c r="C195" s="170"/>
      <c r="D195" s="170"/>
      <c r="E195" s="170"/>
      <c r="F195" s="170"/>
      <c r="G195" s="170"/>
    </row>
    <row r="196">
      <c r="A196" s="170"/>
      <c r="B196" s="170"/>
      <c r="C196" s="170"/>
      <c r="D196" s="170"/>
      <c r="E196" s="170"/>
      <c r="F196" s="170"/>
      <c r="G196" s="170"/>
    </row>
    <row r="197">
      <c r="A197" s="170"/>
      <c r="B197" s="170"/>
      <c r="C197" s="170"/>
      <c r="D197" s="170"/>
      <c r="E197" s="170"/>
      <c r="F197" s="170"/>
      <c r="G197" s="170"/>
    </row>
    <row r="198">
      <c r="A198" s="170"/>
      <c r="B198" s="170"/>
      <c r="C198" s="170"/>
      <c r="D198" s="170"/>
      <c r="E198" s="170"/>
      <c r="F198" s="170"/>
      <c r="G198" s="170"/>
    </row>
    <row r="199">
      <c r="A199" s="170"/>
      <c r="B199" s="170"/>
      <c r="C199" s="170"/>
      <c r="D199" s="170"/>
      <c r="E199" s="170"/>
      <c r="F199" s="170"/>
      <c r="G199" s="170"/>
    </row>
    <row r="200">
      <c r="A200" s="170"/>
      <c r="B200" s="170"/>
      <c r="C200" s="170"/>
      <c r="D200" s="170"/>
      <c r="E200" s="170"/>
      <c r="F200" s="170"/>
      <c r="G200" s="170"/>
    </row>
    <row r="201">
      <c r="A201" s="170"/>
      <c r="B201" s="170"/>
      <c r="C201" s="170"/>
      <c r="D201" s="170"/>
      <c r="E201" s="170"/>
      <c r="F201" s="170"/>
      <c r="G201" s="170"/>
    </row>
    <row r="202">
      <c r="A202" s="170"/>
      <c r="B202" s="170"/>
      <c r="C202" s="170"/>
      <c r="D202" s="170"/>
      <c r="E202" s="170"/>
      <c r="F202" s="170"/>
      <c r="G202" s="170"/>
    </row>
    <row r="203">
      <c r="A203" s="170"/>
      <c r="B203" s="170"/>
      <c r="C203" s="170"/>
      <c r="D203" s="170"/>
      <c r="E203" s="170"/>
      <c r="F203" s="170"/>
      <c r="G203" s="170"/>
    </row>
    <row r="204">
      <c r="A204" s="170"/>
      <c r="B204" s="170"/>
      <c r="C204" s="170"/>
      <c r="D204" s="170"/>
      <c r="E204" s="170"/>
      <c r="F204" s="170"/>
      <c r="G204" s="170"/>
    </row>
    <row r="205">
      <c r="A205" s="170"/>
      <c r="B205" s="170"/>
      <c r="C205" s="170"/>
      <c r="D205" s="170"/>
      <c r="E205" s="170"/>
      <c r="F205" s="170"/>
      <c r="G205" s="170"/>
    </row>
    <row r="206">
      <c r="A206" s="170"/>
      <c r="B206" s="170"/>
      <c r="C206" s="170"/>
      <c r="D206" s="170"/>
      <c r="E206" s="170"/>
      <c r="F206" s="170"/>
      <c r="G206" s="170"/>
    </row>
    <row r="207">
      <c r="A207" s="170"/>
      <c r="B207" s="170"/>
      <c r="C207" s="170"/>
      <c r="D207" s="170"/>
      <c r="E207" s="170"/>
      <c r="F207" s="170"/>
      <c r="G207" s="170"/>
    </row>
    <row r="208">
      <c r="A208" s="170"/>
      <c r="B208" s="170"/>
      <c r="C208" s="170"/>
      <c r="D208" s="170"/>
      <c r="E208" s="170"/>
      <c r="F208" s="170"/>
      <c r="G208" s="170"/>
    </row>
    <row r="209">
      <c r="A209" s="170"/>
      <c r="B209" s="170"/>
      <c r="C209" s="170"/>
      <c r="D209" s="170"/>
      <c r="E209" s="170"/>
      <c r="F209" s="170"/>
      <c r="G209" s="170"/>
    </row>
    <row r="210">
      <c r="A210" s="170"/>
      <c r="B210" s="170"/>
      <c r="C210" s="170"/>
      <c r="D210" s="170"/>
      <c r="E210" s="170"/>
      <c r="F210" s="170"/>
      <c r="G210" s="170"/>
    </row>
    <row r="211">
      <c r="A211" s="170"/>
      <c r="B211" s="170"/>
      <c r="C211" s="170"/>
      <c r="D211" s="170"/>
      <c r="E211" s="170"/>
      <c r="F211" s="170"/>
      <c r="G211" s="170"/>
    </row>
    <row r="212">
      <c r="A212" s="170"/>
      <c r="B212" s="170"/>
      <c r="C212" s="170"/>
      <c r="D212" s="170"/>
      <c r="E212" s="170"/>
      <c r="F212" s="170"/>
      <c r="G212" s="170"/>
    </row>
    <row r="213">
      <c r="A213" s="170"/>
      <c r="B213" s="170"/>
      <c r="C213" s="170"/>
      <c r="D213" s="170"/>
      <c r="E213" s="170"/>
      <c r="F213" s="170"/>
      <c r="G213" s="170"/>
    </row>
    <row r="214">
      <c r="A214" s="170"/>
      <c r="B214" s="170"/>
      <c r="C214" s="170"/>
      <c r="D214" s="170"/>
      <c r="E214" s="170"/>
      <c r="F214" s="170"/>
      <c r="G214" s="170"/>
    </row>
    <row r="215">
      <c r="A215" s="170"/>
      <c r="B215" s="170"/>
      <c r="C215" s="170"/>
      <c r="D215" s="170"/>
      <c r="E215" s="170"/>
      <c r="F215" s="170"/>
      <c r="G215" s="170"/>
    </row>
    <row r="216">
      <c r="A216" s="170"/>
      <c r="B216" s="170"/>
      <c r="C216" s="170"/>
      <c r="D216" s="170"/>
      <c r="E216" s="170"/>
      <c r="F216" s="170"/>
      <c r="G216" s="170"/>
    </row>
    <row r="217">
      <c r="A217" s="170"/>
      <c r="B217" s="170"/>
      <c r="C217" s="170"/>
      <c r="D217" s="170"/>
      <c r="E217" s="170"/>
      <c r="F217" s="170"/>
      <c r="G217" s="170"/>
    </row>
    <row r="218">
      <c r="A218" s="170"/>
      <c r="B218" s="170"/>
      <c r="C218" s="170"/>
      <c r="D218" s="170"/>
      <c r="E218" s="170"/>
      <c r="F218" s="170"/>
      <c r="G218" s="170"/>
    </row>
    <row r="219">
      <c r="A219" s="170"/>
      <c r="B219" s="170"/>
      <c r="C219" s="170"/>
      <c r="D219" s="170"/>
      <c r="E219" s="170"/>
      <c r="F219" s="170"/>
      <c r="G219" s="170"/>
    </row>
    <row r="220">
      <c r="A220" s="170"/>
      <c r="B220" s="170"/>
      <c r="C220" s="170"/>
      <c r="D220" s="170"/>
      <c r="E220" s="170"/>
      <c r="F220" s="170"/>
      <c r="G220" s="170"/>
    </row>
    <row r="221">
      <c r="A221" s="170"/>
      <c r="B221" s="170"/>
      <c r="C221" s="170"/>
      <c r="D221" s="170"/>
      <c r="E221" s="170"/>
      <c r="F221" s="170"/>
      <c r="G221" s="170"/>
    </row>
    <row r="222">
      <c r="A222" s="170"/>
      <c r="B222" s="170"/>
      <c r="C222" s="170"/>
      <c r="D222" s="170"/>
      <c r="E222" s="170"/>
      <c r="F222" s="170"/>
      <c r="G222" s="170"/>
    </row>
    <row r="223">
      <c r="A223" s="170"/>
      <c r="B223" s="170"/>
      <c r="C223" s="170"/>
      <c r="D223" s="170"/>
      <c r="E223" s="170"/>
      <c r="F223" s="170"/>
      <c r="G223" s="170"/>
    </row>
    <row r="224">
      <c r="A224" s="170"/>
      <c r="B224" s="170"/>
      <c r="C224" s="170"/>
      <c r="D224" s="170"/>
      <c r="E224" s="170"/>
      <c r="F224" s="170"/>
      <c r="G224" s="170"/>
    </row>
    <row r="225">
      <c r="A225" s="170"/>
      <c r="B225" s="170"/>
      <c r="C225" s="170"/>
      <c r="D225" s="170"/>
      <c r="E225" s="170"/>
      <c r="F225" s="170"/>
      <c r="G225" s="170"/>
    </row>
    <row r="226">
      <c r="A226" s="170"/>
      <c r="B226" s="170"/>
      <c r="C226" s="170"/>
      <c r="D226" s="170"/>
      <c r="E226" s="170"/>
      <c r="F226" s="170"/>
      <c r="G226" s="170"/>
    </row>
    <row r="227">
      <c r="A227" s="170"/>
      <c r="B227" s="170"/>
      <c r="C227" s="170"/>
      <c r="D227" s="170"/>
      <c r="E227" s="170"/>
      <c r="F227" s="170"/>
      <c r="G227" s="170"/>
    </row>
    <row r="228">
      <c r="A228" s="170"/>
      <c r="B228" s="170"/>
      <c r="C228" s="170"/>
      <c r="D228" s="170"/>
      <c r="E228" s="170"/>
      <c r="F228" s="170"/>
      <c r="G228" s="170"/>
    </row>
    <row r="229">
      <c r="A229" s="170"/>
      <c r="B229" s="170"/>
      <c r="C229" s="170"/>
      <c r="D229" s="170"/>
      <c r="E229" s="170"/>
      <c r="F229" s="170"/>
      <c r="G229" s="170"/>
    </row>
    <row r="230">
      <c r="A230" s="170"/>
      <c r="B230" s="170"/>
      <c r="C230" s="170"/>
      <c r="D230" s="170"/>
      <c r="E230" s="170"/>
      <c r="F230" s="170"/>
      <c r="G230" s="170"/>
    </row>
    <row r="231">
      <c r="A231" s="170"/>
      <c r="B231" s="170"/>
      <c r="C231" s="170"/>
      <c r="D231" s="170"/>
      <c r="E231" s="170"/>
      <c r="F231" s="170"/>
      <c r="G231" s="170"/>
    </row>
    <row r="232">
      <c r="A232" s="170"/>
      <c r="B232" s="170"/>
      <c r="C232" s="170"/>
      <c r="D232" s="170"/>
      <c r="E232" s="170"/>
      <c r="F232" s="170"/>
      <c r="G232" s="170"/>
    </row>
    <row r="233">
      <c r="A233" s="170"/>
      <c r="B233" s="170"/>
      <c r="C233" s="170"/>
      <c r="D233" s="170"/>
      <c r="E233" s="170"/>
      <c r="F233" s="170"/>
      <c r="G233" s="170"/>
    </row>
    <row r="234">
      <c r="A234" s="170"/>
      <c r="B234" s="170"/>
      <c r="C234" s="170"/>
      <c r="D234" s="170"/>
      <c r="E234" s="170"/>
      <c r="F234" s="170"/>
      <c r="G234" s="170"/>
    </row>
    <row r="235">
      <c r="A235" s="170"/>
      <c r="B235" s="170"/>
      <c r="C235" s="170"/>
      <c r="D235" s="170"/>
      <c r="E235" s="170"/>
      <c r="F235" s="170"/>
      <c r="G235" s="170"/>
    </row>
    <row r="236">
      <c r="A236" s="170"/>
      <c r="B236" s="170"/>
      <c r="C236" s="170"/>
      <c r="D236" s="170"/>
      <c r="E236" s="170"/>
      <c r="F236" s="170"/>
      <c r="G236" s="170"/>
    </row>
    <row r="237">
      <c r="A237" s="170"/>
      <c r="B237" s="170"/>
      <c r="C237" s="170"/>
      <c r="D237" s="170"/>
      <c r="E237" s="170"/>
      <c r="F237" s="170"/>
      <c r="G237" s="170"/>
    </row>
    <row r="238">
      <c r="A238" s="170"/>
      <c r="B238" s="170"/>
      <c r="C238" s="170"/>
      <c r="D238" s="170"/>
      <c r="E238" s="170"/>
      <c r="F238" s="170"/>
      <c r="G238" s="170"/>
    </row>
    <row r="239">
      <c r="A239" s="170"/>
      <c r="B239" s="170"/>
      <c r="C239" s="170"/>
      <c r="D239" s="170"/>
      <c r="E239" s="170"/>
      <c r="F239" s="170"/>
      <c r="G239" s="170"/>
    </row>
    <row r="240">
      <c r="A240" s="170"/>
      <c r="B240" s="170"/>
      <c r="C240" s="170"/>
      <c r="D240" s="170"/>
      <c r="E240" s="170"/>
      <c r="F240" s="170"/>
      <c r="G240" s="170"/>
    </row>
    <row r="241">
      <c r="A241" s="170"/>
      <c r="B241" s="170"/>
      <c r="C241" s="170"/>
      <c r="D241" s="170"/>
      <c r="E241" s="170"/>
      <c r="F241" s="170"/>
      <c r="G241" s="170"/>
    </row>
    <row r="242">
      <c r="A242" s="170"/>
      <c r="B242" s="170"/>
      <c r="C242" s="170"/>
      <c r="D242" s="170"/>
      <c r="E242" s="170"/>
      <c r="F242" s="170"/>
      <c r="G242" s="170"/>
    </row>
    <row r="243">
      <c r="A243" s="170"/>
      <c r="B243" s="170"/>
      <c r="C243" s="170"/>
      <c r="D243" s="170"/>
      <c r="E243" s="170"/>
      <c r="F243" s="170"/>
      <c r="G243" s="170"/>
    </row>
    <row r="244">
      <c r="A244" s="170"/>
      <c r="B244" s="170"/>
      <c r="C244" s="170"/>
      <c r="D244" s="170"/>
      <c r="E244" s="170"/>
      <c r="F244" s="170"/>
      <c r="G244" s="170"/>
    </row>
    <row r="245">
      <c r="A245" s="170"/>
      <c r="B245" s="170"/>
      <c r="C245" s="170"/>
      <c r="D245" s="170"/>
      <c r="E245" s="170"/>
      <c r="F245" s="170"/>
      <c r="G245" s="170"/>
    </row>
    <row r="246">
      <c r="A246" s="170"/>
      <c r="B246" s="170"/>
      <c r="C246" s="170"/>
      <c r="D246" s="170"/>
      <c r="E246" s="170"/>
      <c r="F246" s="170"/>
      <c r="G246" s="170"/>
    </row>
    <row r="247">
      <c r="A247" s="170"/>
      <c r="B247" s="170"/>
      <c r="C247" s="170"/>
      <c r="D247" s="170"/>
      <c r="E247" s="170"/>
      <c r="F247" s="170"/>
      <c r="G247" s="170"/>
    </row>
    <row r="248">
      <c r="A248" s="170"/>
      <c r="B248" s="170"/>
      <c r="C248" s="170"/>
      <c r="D248" s="170"/>
      <c r="E248" s="170"/>
      <c r="F248" s="170"/>
      <c r="G248" s="170"/>
    </row>
    <row r="249">
      <c r="A249" s="170"/>
      <c r="B249" s="170"/>
      <c r="C249" s="170"/>
      <c r="D249" s="170"/>
      <c r="E249" s="170"/>
      <c r="F249" s="170"/>
      <c r="G249" s="170"/>
    </row>
    <row r="250">
      <c r="A250" s="170"/>
      <c r="B250" s="170"/>
      <c r="C250" s="170"/>
      <c r="D250" s="170"/>
      <c r="E250" s="170"/>
      <c r="F250" s="170"/>
      <c r="G250" s="170"/>
    </row>
    <row r="251">
      <c r="A251" s="170"/>
      <c r="B251" s="170"/>
      <c r="C251" s="170"/>
      <c r="D251" s="170"/>
      <c r="E251" s="170"/>
      <c r="F251" s="170"/>
      <c r="G251" s="170"/>
    </row>
    <row r="252">
      <c r="A252" s="170"/>
      <c r="B252" s="170"/>
      <c r="C252" s="170"/>
      <c r="D252" s="170"/>
      <c r="E252" s="170"/>
      <c r="F252" s="170"/>
      <c r="G252" s="170"/>
    </row>
    <row r="253">
      <c r="A253" s="170"/>
      <c r="B253" s="170"/>
      <c r="C253" s="170"/>
      <c r="D253" s="170"/>
      <c r="E253" s="170"/>
      <c r="F253" s="170"/>
      <c r="G253" s="170"/>
    </row>
    <row r="254">
      <c r="A254" s="170"/>
      <c r="B254" s="170"/>
      <c r="C254" s="170"/>
      <c r="D254" s="170"/>
      <c r="E254" s="170"/>
      <c r="F254" s="170"/>
      <c r="G254" s="170"/>
    </row>
    <row r="255">
      <c r="A255" s="170"/>
      <c r="B255" s="170"/>
      <c r="C255" s="170"/>
      <c r="D255" s="170"/>
      <c r="E255" s="170"/>
      <c r="F255" s="170"/>
      <c r="G255" s="170"/>
    </row>
    <row r="256">
      <c r="A256" s="170"/>
      <c r="B256" s="170"/>
      <c r="C256" s="170"/>
      <c r="D256" s="170"/>
      <c r="E256" s="170"/>
      <c r="F256" s="170"/>
      <c r="G256" s="170"/>
    </row>
    <row r="257">
      <c r="A257" s="170"/>
      <c r="B257" s="170"/>
      <c r="C257" s="170"/>
      <c r="D257" s="170"/>
      <c r="E257" s="170"/>
      <c r="F257" s="170"/>
      <c r="G257" s="170"/>
    </row>
    <row r="258">
      <c r="A258" s="170"/>
      <c r="B258" s="170"/>
      <c r="C258" s="170"/>
      <c r="D258" s="170"/>
      <c r="E258" s="170"/>
      <c r="F258" s="170"/>
      <c r="G258" s="170"/>
    </row>
    <row r="259">
      <c r="A259" s="170"/>
      <c r="B259" s="170"/>
      <c r="C259" s="170"/>
      <c r="D259" s="170"/>
      <c r="E259" s="170"/>
      <c r="F259" s="170"/>
      <c r="G259" s="170"/>
    </row>
    <row r="260">
      <c r="A260" s="170"/>
      <c r="B260" s="170"/>
      <c r="C260" s="170"/>
      <c r="D260" s="170"/>
      <c r="E260" s="170"/>
      <c r="F260" s="170"/>
      <c r="G260" s="170"/>
    </row>
    <row r="261">
      <c r="A261" s="170"/>
      <c r="B261" s="170"/>
      <c r="C261" s="170"/>
      <c r="D261" s="170"/>
      <c r="E261" s="170"/>
      <c r="F261" s="170"/>
      <c r="G261" s="170"/>
    </row>
    <row r="262">
      <c r="A262" s="170"/>
      <c r="B262" s="170"/>
      <c r="C262" s="170"/>
      <c r="D262" s="170"/>
      <c r="E262" s="170"/>
      <c r="F262" s="170"/>
      <c r="G262" s="170"/>
    </row>
    <row r="263">
      <c r="A263" s="170"/>
      <c r="B263" s="170"/>
      <c r="C263" s="170"/>
      <c r="D263" s="170"/>
      <c r="E263" s="170"/>
      <c r="F263" s="170"/>
      <c r="G263" s="170"/>
    </row>
    <row r="264">
      <c r="A264" s="170"/>
      <c r="B264" s="170"/>
      <c r="C264" s="170"/>
      <c r="D264" s="170"/>
      <c r="E264" s="170"/>
      <c r="F264" s="170"/>
      <c r="G264" s="170"/>
    </row>
    <row r="265">
      <c r="A265" s="170"/>
      <c r="B265" s="170"/>
      <c r="C265" s="170"/>
      <c r="D265" s="170"/>
      <c r="E265" s="170"/>
      <c r="F265" s="170"/>
      <c r="G265" s="170"/>
    </row>
    <row r="266">
      <c r="A266" s="170"/>
      <c r="B266" s="170"/>
      <c r="C266" s="170"/>
      <c r="D266" s="170"/>
      <c r="E266" s="170"/>
      <c r="F266" s="170"/>
      <c r="G266" s="170"/>
    </row>
    <row r="267">
      <c r="A267" s="170"/>
      <c r="B267" s="170"/>
      <c r="C267" s="170"/>
      <c r="D267" s="170"/>
      <c r="E267" s="170"/>
      <c r="F267" s="170"/>
      <c r="G267" s="170"/>
    </row>
    <row r="268">
      <c r="A268" s="170"/>
      <c r="B268" s="170"/>
      <c r="C268" s="170"/>
      <c r="D268" s="170"/>
      <c r="E268" s="170"/>
      <c r="F268" s="170"/>
      <c r="G268" s="170"/>
    </row>
    <row r="269">
      <c r="A269" s="170"/>
      <c r="B269" s="170"/>
      <c r="C269" s="170"/>
      <c r="D269" s="170"/>
      <c r="E269" s="170"/>
      <c r="F269" s="170"/>
      <c r="G269" s="170"/>
    </row>
    <row r="270">
      <c r="A270" s="170"/>
      <c r="B270" s="170"/>
      <c r="C270" s="170"/>
      <c r="D270" s="170"/>
      <c r="E270" s="170"/>
      <c r="F270" s="170"/>
      <c r="G270" s="170"/>
    </row>
    <row r="271">
      <c r="A271" s="170"/>
      <c r="B271" s="170"/>
      <c r="C271" s="170"/>
      <c r="D271" s="170"/>
      <c r="E271" s="170"/>
      <c r="F271" s="170"/>
      <c r="G271" s="170"/>
    </row>
    <row r="272">
      <c r="A272" s="170"/>
      <c r="B272" s="170"/>
      <c r="C272" s="170"/>
      <c r="D272" s="170"/>
      <c r="E272" s="170"/>
      <c r="F272" s="170"/>
      <c r="G272" s="170"/>
    </row>
    <row r="273">
      <c r="A273" s="170"/>
      <c r="B273" s="170"/>
      <c r="C273" s="170"/>
      <c r="D273" s="170"/>
      <c r="E273" s="170"/>
      <c r="F273" s="170"/>
      <c r="G273" s="170"/>
    </row>
    <row r="274">
      <c r="A274" s="170"/>
      <c r="B274" s="170"/>
      <c r="C274" s="170"/>
      <c r="D274" s="170"/>
      <c r="E274" s="170"/>
      <c r="F274" s="170"/>
      <c r="G274" s="170"/>
    </row>
    <row r="275">
      <c r="A275" s="170"/>
      <c r="B275" s="170"/>
      <c r="C275" s="170"/>
      <c r="D275" s="170"/>
      <c r="E275" s="170"/>
      <c r="F275" s="170"/>
      <c r="G275" s="170"/>
    </row>
    <row r="276">
      <c r="A276" s="170"/>
      <c r="B276" s="170"/>
      <c r="C276" s="170"/>
      <c r="D276" s="170"/>
      <c r="E276" s="170"/>
      <c r="F276" s="170"/>
      <c r="G276" s="170"/>
    </row>
    <row r="277">
      <c r="A277" s="170"/>
      <c r="B277" s="170"/>
      <c r="C277" s="170"/>
      <c r="D277" s="170"/>
      <c r="E277" s="170"/>
      <c r="F277" s="170"/>
      <c r="G277" s="170"/>
    </row>
    <row r="278">
      <c r="A278" s="170"/>
      <c r="B278" s="170"/>
      <c r="C278" s="170"/>
      <c r="D278" s="170"/>
      <c r="E278" s="170"/>
      <c r="F278" s="170"/>
      <c r="G278" s="170"/>
    </row>
    <row r="279">
      <c r="A279" s="170"/>
      <c r="B279" s="170"/>
      <c r="C279" s="170"/>
      <c r="D279" s="170"/>
      <c r="E279" s="170"/>
      <c r="F279" s="170"/>
      <c r="G279" s="170"/>
    </row>
    <row r="280">
      <c r="A280" s="170"/>
      <c r="B280" s="170"/>
      <c r="C280" s="170"/>
      <c r="D280" s="170"/>
      <c r="E280" s="170"/>
      <c r="F280" s="170"/>
      <c r="G280" s="170"/>
    </row>
    <row r="281">
      <c r="A281" s="170"/>
      <c r="B281" s="170"/>
      <c r="C281" s="170"/>
      <c r="D281" s="170"/>
      <c r="E281" s="170"/>
      <c r="F281" s="170"/>
      <c r="G281" s="170"/>
    </row>
    <row r="282">
      <c r="A282" s="170"/>
      <c r="B282" s="170"/>
      <c r="C282" s="170"/>
      <c r="D282" s="170"/>
      <c r="E282" s="170"/>
      <c r="F282" s="170"/>
      <c r="G282" s="170"/>
    </row>
    <row r="283">
      <c r="A283" s="170"/>
      <c r="B283" s="170"/>
      <c r="C283" s="170"/>
      <c r="D283" s="170"/>
      <c r="E283" s="170"/>
      <c r="F283" s="170"/>
      <c r="G283" s="170"/>
    </row>
    <row r="284">
      <c r="A284" s="170"/>
      <c r="B284" s="170"/>
      <c r="C284" s="170"/>
      <c r="D284" s="170"/>
      <c r="E284" s="170"/>
      <c r="F284" s="170"/>
      <c r="G284" s="170"/>
    </row>
    <row r="285">
      <c r="A285" s="170"/>
      <c r="B285" s="170"/>
      <c r="C285" s="170"/>
      <c r="D285" s="170"/>
      <c r="E285" s="170"/>
      <c r="F285" s="170"/>
      <c r="G285" s="170"/>
    </row>
    <row r="286">
      <c r="A286" s="170"/>
      <c r="B286" s="170"/>
      <c r="C286" s="170"/>
      <c r="D286" s="170"/>
      <c r="E286" s="170"/>
      <c r="F286" s="170"/>
      <c r="G286" s="170"/>
    </row>
    <row r="287">
      <c r="A287" s="170"/>
      <c r="B287" s="170"/>
      <c r="C287" s="170"/>
      <c r="D287" s="170"/>
      <c r="E287" s="170"/>
      <c r="F287" s="170"/>
      <c r="G287" s="170"/>
    </row>
    <row r="288">
      <c r="A288" s="170"/>
      <c r="B288" s="170"/>
      <c r="C288" s="170"/>
      <c r="D288" s="170"/>
      <c r="E288" s="170"/>
      <c r="F288" s="170"/>
      <c r="G288" s="170"/>
    </row>
    <row r="289">
      <c r="A289" s="170"/>
      <c r="B289" s="170"/>
      <c r="C289" s="170"/>
      <c r="D289" s="170"/>
      <c r="E289" s="170"/>
      <c r="F289" s="170"/>
      <c r="G289" s="170"/>
    </row>
    <row r="290">
      <c r="A290" s="170"/>
      <c r="B290" s="170"/>
      <c r="C290" s="170"/>
      <c r="D290" s="170"/>
      <c r="E290" s="170"/>
      <c r="F290" s="170"/>
      <c r="G290" s="170"/>
    </row>
    <row r="291">
      <c r="A291" s="170"/>
      <c r="B291" s="170"/>
      <c r="C291" s="170"/>
      <c r="D291" s="170"/>
      <c r="E291" s="170"/>
      <c r="F291" s="170"/>
      <c r="G291" s="170"/>
    </row>
    <row r="292">
      <c r="A292" s="170"/>
      <c r="B292" s="170"/>
      <c r="C292" s="170"/>
      <c r="D292" s="170"/>
      <c r="E292" s="170"/>
      <c r="F292" s="170"/>
      <c r="G292" s="170"/>
    </row>
    <row r="293">
      <c r="A293" s="170"/>
      <c r="B293" s="170"/>
      <c r="C293" s="170"/>
      <c r="D293" s="170"/>
      <c r="E293" s="170"/>
      <c r="F293" s="170"/>
      <c r="G293" s="170"/>
    </row>
    <row r="294">
      <c r="A294" s="170"/>
      <c r="B294" s="170"/>
      <c r="C294" s="170"/>
      <c r="D294" s="170"/>
      <c r="E294" s="170"/>
      <c r="F294" s="170"/>
      <c r="G294" s="170"/>
    </row>
    <row r="295">
      <c r="A295" s="170"/>
      <c r="B295" s="170"/>
      <c r="C295" s="170"/>
      <c r="D295" s="170"/>
      <c r="E295" s="170"/>
      <c r="F295" s="170"/>
      <c r="G295" s="170"/>
    </row>
    <row r="296">
      <c r="A296" s="170"/>
      <c r="B296" s="170"/>
      <c r="C296" s="170"/>
      <c r="D296" s="170"/>
      <c r="E296" s="170"/>
      <c r="F296" s="170"/>
      <c r="G296" s="170"/>
    </row>
    <row r="297">
      <c r="A297" s="170"/>
      <c r="B297" s="170"/>
      <c r="C297" s="170"/>
      <c r="D297" s="170"/>
      <c r="E297" s="170"/>
      <c r="F297" s="170"/>
      <c r="G297" s="170"/>
    </row>
    <row r="298">
      <c r="A298" s="170"/>
      <c r="B298" s="170"/>
      <c r="C298" s="170"/>
      <c r="D298" s="170"/>
      <c r="E298" s="170"/>
      <c r="F298" s="170"/>
      <c r="G298" s="170"/>
    </row>
    <row r="299">
      <c r="A299" s="170"/>
      <c r="B299" s="170"/>
      <c r="C299" s="170"/>
      <c r="D299" s="170"/>
      <c r="E299" s="170"/>
      <c r="F299" s="170"/>
      <c r="G299" s="170"/>
    </row>
    <row r="300">
      <c r="A300" s="170"/>
      <c r="B300" s="170"/>
      <c r="C300" s="170"/>
      <c r="D300" s="170"/>
      <c r="E300" s="170"/>
      <c r="F300" s="170"/>
      <c r="G300" s="170"/>
    </row>
    <row r="301">
      <c r="A301" s="170"/>
      <c r="B301" s="170"/>
      <c r="C301" s="170"/>
      <c r="D301" s="170"/>
      <c r="E301" s="170"/>
      <c r="F301" s="170"/>
      <c r="G301" s="170"/>
    </row>
    <row r="302">
      <c r="A302" s="170"/>
      <c r="B302" s="170"/>
      <c r="C302" s="170"/>
      <c r="D302" s="170"/>
      <c r="E302" s="170"/>
      <c r="F302" s="170"/>
      <c r="G302" s="170"/>
    </row>
    <row r="303">
      <c r="A303" s="170"/>
      <c r="B303" s="170"/>
      <c r="C303" s="170"/>
      <c r="D303" s="170"/>
      <c r="E303" s="170"/>
      <c r="F303" s="170"/>
      <c r="G303" s="170"/>
    </row>
    <row r="304">
      <c r="A304" s="170"/>
      <c r="B304" s="170"/>
      <c r="C304" s="170"/>
      <c r="D304" s="170"/>
      <c r="E304" s="170"/>
      <c r="F304" s="170"/>
      <c r="G304" s="170"/>
    </row>
    <row r="305">
      <c r="A305" s="170"/>
      <c r="B305" s="170"/>
      <c r="C305" s="170"/>
      <c r="D305" s="170"/>
      <c r="E305" s="170"/>
      <c r="F305" s="170"/>
      <c r="G305" s="170"/>
    </row>
    <row r="306">
      <c r="A306" s="170"/>
      <c r="B306" s="170"/>
      <c r="C306" s="170"/>
      <c r="D306" s="170"/>
      <c r="E306" s="170"/>
      <c r="F306" s="170"/>
      <c r="G306" s="170"/>
    </row>
    <row r="307">
      <c r="A307" s="170"/>
      <c r="B307" s="170"/>
      <c r="C307" s="170"/>
      <c r="D307" s="170"/>
      <c r="E307" s="170"/>
      <c r="F307" s="170"/>
      <c r="G307" s="170"/>
    </row>
    <row r="308">
      <c r="A308" s="170"/>
      <c r="B308" s="170"/>
      <c r="C308" s="170"/>
      <c r="D308" s="170"/>
      <c r="E308" s="170"/>
      <c r="F308" s="170"/>
      <c r="G308" s="170"/>
    </row>
    <row r="309">
      <c r="A309" s="170"/>
      <c r="B309" s="170"/>
      <c r="C309" s="170"/>
      <c r="D309" s="170"/>
      <c r="E309" s="170"/>
      <c r="F309" s="170"/>
      <c r="G309" s="170"/>
    </row>
    <row r="310">
      <c r="A310" s="170"/>
      <c r="B310" s="170"/>
      <c r="C310" s="170"/>
      <c r="D310" s="170"/>
      <c r="E310" s="170"/>
      <c r="F310" s="170"/>
      <c r="G310" s="170"/>
    </row>
    <row r="311">
      <c r="A311" s="170"/>
      <c r="B311" s="170"/>
      <c r="C311" s="170"/>
      <c r="D311" s="170"/>
      <c r="E311" s="170"/>
      <c r="F311" s="170"/>
      <c r="G311" s="170"/>
    </row>
    <row r="312">
      <c r="A312" s="170"/>
      <c r="B312" s="170"/>
      <c r="C312" s="170"/>
      <c r="D312" s="170"/>
      <c r="E312" s="170"/>
      <c r="F312" s="170"/>
      <c r="G312" s="170"/>
    </row>
    <row r="313">
      <c r="A313" s="170"/>
      <c r="B313" s="170"/>
      <c r="C313" s="170"/>
      <c r="D313" s="170"/>
      <c r="E313" s="170"/>
      <c r="F313" s="170"/>
      <c r="G313" s="170"/>
    </row>
    <row r="314">
      <c r="A314" s="170"/>
      <c r="B314" s="170"/>
      <c r="C314" s="170"/>
      <c r="D314" s="170"/>
      <c r="E314" s="170"/>
      <c r="F314" s="170"/>
      <c r="G314" s="170"/>
    </row>
    <row r="315">
      <c r="A315" s="170"/>
      <c r="B315" s="170"/>
      <c r="C315" s="170"/>
      <c r="D315" s="170"/>
      <c r="E315" s="170"/>
      <c r="F315" s="170"/>
      <c r="G315" s="170"/>
    </row>
    <row r="316">
      <c r="A316" s="170"/>
      <c r="B316" s="170"/>
      <c r="C316" s="170"/>
      <c r="D316" s="170"/>
      <c r="E316" s="170"/>
      <c r="F316" s="170"/>
      <c r="G316" s="170"/>
    </row>
    <row r="317">
      <c r="A317" s="170"/>
      <c r="B317" s="170"/>
      <c r="C317" s="170"/>
      <c r="D317" s="170"/>
      <c r="E317" s="170"/>
      <c r="F317" s="170"/>
      <c r="G317" s="170"/>
    </row>
    <row r="318">
      <c r="A318" s="170"/>
      <c r="B318" s="170"/>
      <c r="C318" s="170"/>
      <c r="D318" s="170"/>
      <c r="E318" s="170"/>
      <c r="F318" s="170"/>
      <c r="G318" s="170"/>
    </row>
    <row r="319">
      <c r="A319" s="170"/>
      <c r="B319" s="170"/>
      <c r="C319" s="170"/>
      <c r="D319" s="170"/>
      <c r="E319" s="170"/>
      <c r="F319" s="170"/>
      <c r="G319" s="170"/>
    </row>
    <row r="320">
      <c r="A320" s="170"/>
      <c r="B320" s="170"/>
      <c r="C320" s="170"/>
      <c r="D320" s="170"/>
      <c r="E320" s="170"/>
      <c r="F320" s="170"/>
      <c r="G320" s="170"/>
    </row>
    <row r="321">
      <c r="A321" s="170"/>
      <c r="B321" s="170"/>
      <c r="C321" s="170"/>
      <c r="D321" s="170"/>
      <c r="E321" s="170"/>
      <c r="F321" s="170"/>
      <c r="G321" s="170"/>
    </row>
    <row r="322">
      <c r="A322" s="170"/>
      <c r="B322" s="170"/>
      <c r="C322" s="170"/>
      <c r="D322" s="170"/>
      <c r="E322" s="170"/>
      <c r="F322" s="170"/>
      <c r="G322" s="170"/>
    </row>
    <row r="323">
      <c r="A323" s="170"/>
      <c r="B323" s="170"/>
      <c r="C323" s="170"/>
      <c r="D323" s="170"/>
      <c r="E323" s="170"/>
      <c r="F323" s="170"/>
      <c r="G323" s="170"/>
    </row>
    <row r="324">
      <c r="A324" s="170"/>
      <c r="B324" s="170"/>
      <c r="C324" s="170"/>
      <c r="D324" s="170"/>
      <c r="E324" s="170"/>
      <c r="F324" s="170"/>
      <c r="G324" s="170"/>
    </row>
    <row r="325">
      <c r="A325" s="170"/>
      <c r="B325" s="170"/>
      <c r="C325" s="170"/>
      <c r="D325" s="170"/>
      <c r="E325" s="170"/>
      <c r="F325" s="170"/>
      <c r="G325" s="170"/>
    </row>
    <row r="326">
      <c r="A326" s="170"/>
      <c r="B326" s="170"/>
      <c r="C326" s="170"/>
      <c r="D326" s="170"/>
      <c r="E326" s="170"/>
      <c r="F326" s="170"/>
      <c r="G326" s="170"/>
    </row>
    <row r="327">
      <c r="A327" s="170"/>
      <c r="B327" s="170"/>
      <c r="C327" s="170"/>
      <c r="D327" s="170"/>
      <c r="E327" s="170"/>
      <c r="F327" s="170"/>
      <c r="G327" s="170"/>
    </row>
    <row r="328">
      <c r="A328" s="170"/>
      <c r="B328" s="170"/>
      <c r="C328" s="170"/>
      <c r="D328" s="170"/>
      <c r="E328" s="170"/>
      <c r="F328" s="170"/>
      <c r="G328" s="170"/>
    </row>
    <row r="329">
      <c r="A329" s="170"/>
      <c r="B329" s="170"/>
      <c r="C329" s="170"/>
      <c r="D329" s="170"/>
      <c r="E329" s="170"/>
      <c r="F329" s="170"/>
      <c r="G329" s="170"/>
    </row>
    <row r="330">
      <c r="A330" s="170"/>
      <c r="B330" s="170"/>
      <c r="C330" s="170"/>
      <c r="D330" s="170"/>
      <c r="E330" s="170"/>
      <c r="F330" s="170"/>
      <c r="G330" s="170"/>
    </row>
    <row r="331">
      <c r="A331" s="170"/>
      <c r="B331" s="170"/>
      <c r="C331" s="170"/>
      <c r="D331" s="170"/>
      <c r="E331" s="170"/>
      <c r="F331" s="170"/>
      <c r="G331" s="170"/>
    </row>
    <row r="332">
      <c r="A332" s="170"/>
      <c r="B332" s="170"/>
      <c r="C332" s="170"/>
      <c r="D332" s="170"/>
      <c r="E332" s="170"/>
      <c r="F332" s="170"/>
      <c r="G332" s="170"/>
    </row>
    <row r="333">
      <c r="A333" s="170"/>
      <c r="B333" s="170"/>
      <c r="C333" s="170"/>
      <c r="D333" s="170"/>
      <c r="E333" s="170"/>
      <c r="F333" s="170"/>
      <c r="G333" s="170"/>
    </row>
    <row r="334">
      <c r="A334" s="170"/>
      <c r="B334" s="170"/>
      <c r="C334" s="170"/>
      <c r="D334" s="170"/>
      <c r="E334" s="170"/>
      <c r="F334" s="170"/>
      <c r="G334" s="170"/>
    </row>
    <row r="335">
      <c r="A335" s="170"/>
      <c r="B335" s="170"/>
      <c r="C335" s="170"/>
      <c r="D335" s="170"/>
      <c r="E335" s="170"/>
      <c r="F335" s="170"/>
      <c r="G335" s="170"/>
    </row>
    <row r="336">
      <c r="A336" s="170"/>
      <c r="B336" s="170"/>
      <c r="C336" s="170"/>
      <c r="D336" s="170"/>
      <c r="E336" s="170"/>
      <c r="F336" s="170"/>
      <c r="G336" s="170"/>
    </row>
    <row r="337">
      <c r="A337" s="170"/>
      <c r="B337" s="170"/>
      <c r="C337" s="170"/>
      <c r="D337" s="170"/>
      <c r="E337" s="170"/>
      <c r="F337" s="170"/>
      <c r="G337" s="170"/>
    </row>
    <row r="338">
      <c r="A338" s="170"/>
      <c r="B338" s="170"/>
      <c r="C338" s="170"/>
      <c r="D338" s="170"/>
      <c r="E338" s="170"/>
      <c r="F338" s="170"/>
      <c r="G338" s="170"/>
    </row>
    <row r="339">
      <c r="A339" s="170"/>
      <c r="B339" s="170"/>
      <c r="C339" s="170"/>
      <c r="D339" s="170"/>
      <c r="E339" s="170"/>
      <c r="F339" s="170"/>
      <c r="G339" s="170"/>
    </row>
    <row r="340">
      <c r="A340" s="170"/>
      <c r="B340" s="170"/>
      <c r="C340" s="170"/>
      <c r="D340" s="170"/>
      <c r="E340" s="170"/>
      <c r="F340" s="170"/>
      <c r="G340" s="170"/>
    </row>
    <row r="341">
      <c r="A341" s="170"/>
      <c r="B341" s="170"/>
      <c r="C341" s="170"/>
      <c r="D341" s="170"/>
      <c r="E341" s="170"/>
      <c r="F341" s="170"/>
      <c r="G341" s="170"/>
    </row>
    <row r="342">
      <c r="A342" s="170"/>
      <c r="B342" s="170"/>
      <c r="C342" s="170"/>
      <c r="D342" s="170"/>
      <c r="E342" s="170"/>
      <c r="F342" s="170"/>
      <c r="G342" s="170"/>
    </row>
    <row r="343">
      <c r="A343" s="170"/>
      <c r="B343" s="170"/>
      <c r="C343" s="170"/>
      <c r="D343" s="170"/>
      <c r="E343" s="170"/>
      <c r="F343" s="170"/>
      <c r="G343" s="170"/>
    </row>
    <row r="344">
      <c r="A344" s="170"/>
      <c r="B344" s="170"/>
      <c r="C344" s="170"/>
      <c r="D344" s="170"/>
      <c r="E344" s="170"/>
      <c r="F344" s="170"/>
      <c r="G344" s="170"/>
    </row>
    <row r="345">
      <c r="A345" s="170"/>
      <c r="B345" s="170"/>
      <c r="C345" s="170"/>
      <c r="D345" s="170"/>
      <c r="E345" s="170"/>
      <c r="F345" s="170"/>
      <c r="G345" s="170"/>
    </row>
    <row r="346">
      <c r="A346" s="170"/>
      <c r="B346" s="170"/>
      <c r="C346" s="170"/>
      <c r="D346" s="170"/>
      <c r="E346" s="170"/>
      <c r="F346" s="170"/>
      <c r="G346" s="170"/>
    </row>
    <row r="347">
      <c r="A347" s="170"/>
      <c r="B347" s="170"/>
      <c r="C347" s="170"/>
      <c r="D347" s="170"/>
      <c r="E347" s="170"/>
      <c r="F347" s="170"/>
      <c r="G347" s="170"/>
    </row>
    <row r="348">
      <c r="A348" s="170"/>
      <c r="B348" s="170"/>
      <c r="C348" s="170"/>
      <c r="D348" s="170"/>
      <c r="E348" s="170"/>
      <c r="F348" s="170"/>
      <c r="G348" s="170"/>
    </row>
    <row r="349">
      <c r="A349" s="170"/>
      <c r="B349" s="170"/>
      <c r="C349" s="170"/>
      <c r="D349" s="170"/>
      <c r="E349" s="170"/>
      <c r="F349" s="170"/>
      <c r="G349" s="170"/>
    </row>
    <row r="350">
      <c r="A350" s="170"/>
      <c r="B350" s="170"/>
      <c r="C350" s="170"/>
      <c r="D350" s="170"/>
      <c r="E350" s="170"/>
      <c r="F350" s="170"/>
      <c r="G350" s="170"/>
    </row>
    <row r="351">
      <c r="A351" s="170"/>
      <c r="B351" s="170"/>
      <c r="C351" s="170"/>
      <c r="D351" s="170"/>
      <c r="E351" s="170"/>
      <c r="F351" s="170"/>
      <c r="G351" s="170"/>
    </row>
    <row r="352">
      <c r="A352" s="170"/>
      <c r="B352" s="170"/>
      <c r="C352" s="170"/>
      <c r="D352" s="170"/>
      <c r="E352" s="170"/>
      <c r="F352" s="170"/>
      <c r="G352" s="170"/>
    </row>
    <row r="353">
      <c r="A353" s="170"/>
      <c r="B353" s="170"/>
      <c r="C353" s="170"/>
      <c r="D353" s="170"/>
      <c r="E353" s="170"/>
      <c r="F353" s="170"/>
      <c r="G353" s="170"/>
    </row>
    <row r="354">
      <c r="A354" s="170"/>
      <c r="B354" s="170"/>
      <c r="C354" s="170"/>
      <c r="D354" s="170"/>
      <c r="E354" s="170"/>
      <c r="F354" s="170"/>
      <c r="G354" s="170"/>
    </row>
    <row r="355">
      <c r="A355" s="170"/>
      <c r="B355" s="170"/>
      <c r="C355" s="170"/>
      <c r="D355" s="170"/>
      <c r="E355" s="170"/>
      <c r="F355" s="170"/>
      <c r="G355" s="170"/>
    </row>
    <row r="356">
      <c r="A356" s="170"/>
      <c r="B356" s="170"/>
      <c r="C356" s="170"/>
      <c r="D356" s="170"/>
      <c r="E356" s="170"/>
      <c r="F356" s="170"/>
      <c r="G356" s="170"/>
    </row>
    <row r="357">
      <c r="A357" s="170"/>
      <c r="B357" s="170"/>
      <c r="C357" s="170"/>
      <c r="D357" s="170"/>
      <c r="E357" s="170"/>
      <c r="F357" s="170"/>
      <c r="G357" s="170"/>
    </row>
    <row r="358">
      <c r="A358" s="170"/>
      <c r="B358" s="170"/>
      <c r="C358" s="170"/>
      <c r="D358" s="170"/>
      <c r="E358" s="170"/>
      <c r="F358" s="170"/>
      <c r="G358" s="170"/>
    </row>
    <row r="359">
      <c r="A359" s="170"/>
      <c r="B359" s="170"/>
      <c r="C359" s="170"/>
      <c r="D359" s="170"/>
      <c r="E359" s="170"/>
      <c r="F359" s="170"/>
      <c r="G359" s="170"/>
    </row>
    <row r="360">
      <c r="A360" s="170"/>
      <c r="B360" s="170"/>
      <c r="C360" s="170"/>
      <c r="D360" s="170"/>
      <c r="E360" s="170"/>
      <c r="F360" s="170"/>
      <c r="G360" s="170"/>
    </row>
    <row r="361">
      <c r="A361" s="170"/>
      <c r="B361" s="170"/>
      <c r="C361" s="170"/>
      <c r="D361" s="170"/>
      <c r="E361" s="170"/>
      <c r="F361" s="170"/>
      <c r="G361" s="170"/>
    </row>
    <row r="362">
      <c r="A362" s="170"/>
      <c r="B362" s="170"/>
      <c r="C362" s="170"/>
      <c r="D362" s="170"/>
      <c r="E362" s="170"/>
      <c r="F362" s="170"/>
      <c r="G362" s="170"/>
    </row>
    <row r="363">
      <c r="A363" s="170"/>
      <c r="B363" s="170"/>
      <c r="C363" s="170"/>
      <c r="D363" s="170"/>
      <c r="E363" s="170"/>
      <c r="F363" s="170"/>
      <c r="G363" s="170"/>
    </row>
    <row r="364">
      <c r="A364" s="170"/>
      <c r="B364" s="170"/>
      <c r="C364" s="170"/>
      <c r="D364" s="170"/>
      <c r="E364" s="170"/>
      <c r="F364" s="170"/>
      <c r="G364" s="170"/>
    </row>
    <row r="365">
      <c r="A365" s="170"/>
      <c r="B365" s="170"/>
      <c r="C365" s="170"/>
      <c r="D365" s="170"/>
      <c r="E365" s="170"/>
      <c r="F365" s="170"/>
      <c r="G365" s="170"/>
    </row>
    <row r="366">
      <c r="A366" s="170"/>
      <c r="B366" s="170"/>
      <c r="C366" s="170"/>
      <c r="D366" s="170"/>
      <c r="E366" s="170"/>
      <c r="F366" s="170"/>
      <c r="G366" s="170"/>
    </row>
    <row r="367">
      <c r="A367" s="170"/>
      <c r="B367" s="170"/>
      <c r="C367" s="170"/>
      <c r="D367" s="170"/>
      <c r="E367" s="170"/>
      <c r="F367" s="170"/>
      <c r="G367" s="170"/>
    </row>
    <row r="368">
      <c r="A368" s="170"/>
      <c r="B368" s="170"/>
      <c r="C368" s="170"/>
      <c r="D368" s="170"/>
      <c r="E368" s="170"/>
      <c r="F368" s="170"/>
      <c r="G368" s="170"/>
    </row>
    <row r="369">
      <c r="A369" s="170"/>
      <c r="B369" s="170"/>
      <c r="C369" s="170"/>
      <c r="D369" s="170"/>
      <c r="E369" s="170"/>
      <c r="F369" s="170"/>
      <c r="G369" s="170"/>
    </row>
    <row r="370">
      <c r="A370" s="170"/>
      <c r="B370" s="170"/>
      <c r="C370" s="170"/>
      <c r="D370" s="170"/>
      <c r="E370" s="170"/>
      <c r="F370" s="170"/>
      <c r="G370" s="170"/>
    </row>
    <row r="371">
      <c r="A371" s="170"/>
      <c r="B371" s="170"/>
      <c r="C371" s="170"/>
      <c r="D371" s="170"/>
      <c r="E371" s="170"/>
      <c r="F371" s="170"/>
      <c r="G371" s="170"/>
    </row>
    <row r="372">
      <c r="A372" s="170"/>
      <c r="B372" s="170"/>
      <c r="C372" s="170"/>
      <c r="D372" s="170"/>
      <c r="E372" s="170"/>
      <c r="F372" s="170"/>
      <c r="G372" s="170"/>
    </row>
    <row r="373">
      <c r="A373" s="170"/>
      <c r="B373" s="170"/>
      <c r="C373" s="170"/>
      <c r="D373" s="170"/>
      <c r="E373" s="170"/>
      <c r="F373" s="170"/>
      <c r="G373" s="170"/>
    </row>
    <row r="374">
      <c r="A374" s="170"/>
      <c r="B374" s="170"/>
      <c r="C374" s="170"/>
      <c r="D374" s="170"/>
      <c r="E374" s="170"/>
      <c r="F374" s="170"/>
      <c r="G374" s="170"/>
    </row>
    <row r="375">
      <c r="A375" s="170"/>
      <c r="B375" s="170"/>
      <c r="C375" s="170"/>
      <c r="D375" s="170"/>
      <c r="E375" s="170"/>
      <c r="F375" s="170"/>
      <c r="G375" s="170"/>
    </row>
    <row r="376">
      <c r="A376" s="170"/>
      <c r="B376" s="170"/>
      <c r="C376" s="170"/>
      <c r="D376" s="170"/>
      <c r="E376" s="170"/>
      <c r="F376" s="170"/>
      <c r="G376" s="170"/>
    </row>
    <row r="377">
      <c r="A377" s="170"/>
      <c r="B377" s="170"/>
      <c r="C377" s="170"/>
      <c r="D377" s="170"/>
      <c r="E377" s="170"/>
      <c r="F377" s="170"/>
      <c r="G377" s="170"/>
    </row>
    <row r="378">
      <c r="A378" s="170"/>
      <c r="B378" s="170"/>
      <c r="C378" s="170"/>
      <c r="D378" s="170"/>
      <c r="E378" s="170"/>
      <c r="F378" s="170"/>
      <c r="G378" s="170"/>
    </row>
    <row r="379">
      <c r="A379" s="170"/>
      <c r="B379" s="170"/>
      <c r="C379" s="170"/>
      <c r="D379" s="170"/>
      <c r="E379" s="170"/>
      <c r="F379" s="170"/>
      <c r="G379" s="170"/>
    </row>
    <row r="380">
      <c r="A380" s="170"/>
      <c r="B380" s="170"/>
      <c r="C380" s="170"/>
      <c r="D380" s="170"/>
      <c r="E380" s="170"/>
      <c r="F380" s="170"/>
      <c r="G380" s="170"/>
    </row>
    <row r="381">
      <c r="A381" s="170"/>
      <c r="B381" s="170"/>
      <c r="C381" s="170"/>
      <c r="D381" s="170"/>
      <c r="E381" s="170"/>
      <c r="F381" s="170"/>
      <c r="G381" s="170"/>
    </row>
    <row r="382">
      <c r="A382" s="170"/>
      <c r="B382" s="170"/>
      <c r="C382" s="170"/>
      <c r="D382" s="170"/>
      <c r="E382" s="170"/>
      <c r="F382" s="170"/>
      <c r="G382" s="170"/>
    </row>
    <row r="383">
      <c r="A383" s="170"/>
      <c r="B383" s="170"/>
      <c r="C383" s="170"/>
      <c r="D383" s="170"/>
      <c r="E383" s="170"/>
      <c r="F383" s="170"/>
      <c r="G383" s="170"/>
    </row>
    <row r="384">
      <c r="A384" s="170"/>
      <c r="B384" s="170"/>
      <c r="C384" s="170"/>
      <c r="D384" s="170"/>
      <c r="E384" s="170"/>
      <c r="F384" s="170"/>
      <c r="G384" s="170"/>
    </row>
    <row r="385">
      <c r="A385" s="170"/>
      <c r="B385" s="170"/>
      <c r="C385" s="170"/>
      <c r="D385" s="170"/>
      <c r="E385" s="170"/>
      <c r="F385" s="170"/>
      <c r="G385" s="170"/>
    </row>
    <row r="386">
      <c r="A386" s="170"/>
      <c r="B386" s="170"/>
      <c r="C386" s="170"/>
      <c r="D386" s="170"/>
      <c r="E386" s="170"/>
      <c r="F386" s="170"/>
      <c r="G386" s="170"/>
    </row>
    <row r="387">
      <c r="A387" s="170"/>
      <c r="B387" s="170"/>
      <c r="C387" s="170"/>
      <c r="D387" s="170"/>
      <c r="E387" s="170"/>
      <c r="F387" s="170"/>
      <c r="G387" s="170"/>
    </row>
    <row r="388">
      <c r="A388" s="170"/>
      <c r="B388" s="170"/>
      <c r="C388" s="170"/>
      <c r="D388" s="170"/>
      <c r="E388" s="170"/>
      <c r="F388" s="170"/>
      <c r="G388" s="170"/>
    </row>
    <row r="389">
      <c r="A389" s="170"/>
      <c r="B389" s="170"/>
      <c r="C389" s="170"/>
      <c r="D389" s="170"/>
      <c r="E389" s="170"/>
      <c r="F389" s="170"/>
      <c r="G389" s="170"/>
    </row>
    <row r="390">
      <c r="A390" s="170"/>
      <c r="B390" s="170"/>
      <c r="C390" s="170"/>
      <c r="D390" s="170"/>
      <c r="E390" s="170"/>
      <c r="F390" s="170"/>
      <c r="G390" s="170"/>
    </row>
    <row r="391">
      <c r="A391" s="170"/>
      <c r="B391" s="170"/>
      <c r="C391" s="170"/>
      <c r="D391" s="170"/>
      <c r="E391" s="170"/>
      <c r="F391" s="170"/>
      <c r="G391" s="170"/>
    </row>
    <row r="392">
      <c r="A392" s="170"/>
      <c r="B392" s="170"/>
      <c r="C392" s="170"/>
      <c r="D392" s="170"/>
      <c r="E392" s="170"/>
      <c r="F392" s="170"/>
      <c r="G392" s="170"/>
    </row>
    <row r="393">
      <c r="A393" s="170"/>
      <c r="B393" s="170"/>
      <c r="C393" s="170"/>
      <c r="D393" s="170"/>
      <c r="E393" s="170"/>
      <c r="F393" s="170"/>
      <c r="G393" s="170"/>
    </row>
    <row r="394">
      <c r="A394" s="170"/>
      <c r="B394" s="170"/>
      <c r="C394" s="170"/>
      <c r="D394" s="170"/>
      <c r="E394" s="170"/>
      <c r="F394" s="170"/>
      <c r="G394" s="170"/>
    </row>
    <row r="395">
      <c r="A395" s="170"/>
      <c r="B395" s="170"/>
      <c r="C395" s="170"/>
      <c r="D395" s="170"/>
      <c r="E395" s="170"/>
      <c r="F395" s="170"/>
      <c r="G395" s="170"/>
    </row>
    <row r="396">
      <c r="A396" s="170"/>
      <c r="B396" s="170"/>
      <c r="C396" s="170"/>
      <c r="D396" s="170"/>
      <c r="E396" s="170"/>
      <c r="F396" s="170"/>
      <c r="G396" s="170"/>
    </row>
    <row r="397">
      <c r="A397" s="170"/>
      <c r="B397" s="170"/>
      <c r="C397" s="170"/>
      <c r="D397" s="170"/>
      <c r="E397" s="170"/>
      <c r="F397" s="170"/>
      <c r="G397" s="170"/>
    </row>
    <row r="398">
      <c r="A398" s="170"/>
      <c r="B398" s="170"/>
      <c r="C398" s="170"/>
      <c r="D398" s="170"/>
      <c r="E398" s="170"/>
      <c r="F398" s="170"/>
      <c r="G398" s="170"/>
    </row>
    <row r="399">
      <c r="A399" s="170"/>
      <c r="B399" s="170"/>
      <c r="C399" s="170"/>
      <c r="D399" s="170"/>
      <c r="E399" s="170"/>
      <c r="F399" s="170"/>
      <c r="G399" s="170"/>
    </row>
    <row r="400">
      <c r="A400" s="170"/>
      <c r="B400" s="170"/>
      <c r="C400" s="170"/>
      <c r="D400" s="170"/>
      <c r="E400" s="170"/>
      <c r="F400" s="170"/>
      <c r="G400" s="170"/>
    </row>
    <row r="401">
      <c r="A401" s="170"/>
      <c r="B401" s="170"/>
      <c r="C401" s="170"/>
      <c r="D401" s="170"/>
      <c r="E401" s="170"/>
      <c r="F401" s="170"/>
      <c r="G401" s="170"/>
    </row>
    <row r="402">
      <c r="A402" s="170"/>
      <c r="B402" s="170"/>
      <c r="C402" s="170"/>
      <c r="D402" s="170"/>
      <c r="E402" s="170"/>
      <c r="F402" s="170"/>
      <c r="G402" s="170"/>
    </row>
    <row r="403">
      <c r="A403" s="170"/>
      <c r="B403" s="170"/>
      <c r="C403" s="170"/>
      <c r="D403" s="170"/>
      <c r="E403" s="170"/>
      <c r="F403" s="170"/>
      <c r="G403" s="170"/>
    </row>
    <row r="404">
      <c r="A404" s="170"/>
      <c r="B404" s="170"/>
      <c r="C404" s="170"/>
      <c r="D404" s="170"/>
      <c r="E404" s="170"/>
      <c r="F404" s="170"/>
      <c r="G404" s="170"/>
    </row>
    <row r="405">
      <c r="A405" s="170"/>
      <c r="B405" s="170"/>
      <c r="C405" s="170"/>
      <c r="D405" s="170"/>
      <c r="E405" s="170"/>
      <c r="F405" s="170"/>
      <c r="G405" s="170"/>
    </row>
    <row r="406">
      <c r="A406" s="170"/>
      <c r="B406" s="170"/>
      <c r="C406" s="170"/>
      <c r="D406" s="170"/>
      <c r="E406" s="170"/>
      <c r="F406" s="170"/>
      <c r="G406" s="170"/>
    </row>
    <row r="407">
      <c r="A407" s="170"/>
      <c r="B407" s="170"/>
      <c r="C407" s="170"/>
      <c r="D407" s="170"/>
      <c r="E407" s="170"/>
      <c r="F407" s="170"/>
      <c r="G407" s="170"/>
    </row>
    <row r="408">
      <c r="A408" s="170"/>
      <c r="B408" s="170"/>
      <c r="C408" s="170"/>
      <c r="D408" s="170"/>
      <c r="E408" s="170"/>
      <c r="F408" s="170"/>
      <c r="G408" s="170"/>
    </row>
    <row r="409">
      <c r="A409" s="170"/>
      <c r="B409" s="170"/>
      <c r="C409" s="170"/>
      <c r="D409" s="170"/>
      <c r="E409" s="170"/>
      <c r="F409" s="170"/>
      <c r="G409" s="170"/>
    </row>
    <row r="410">
      <c r="A410" s="170"/>
      <c r="B410" s="170"/>
      <c r="C410" s="170"/>
      <c r="D410" s="170"/>
      <c r="E410" s="170"/>
      <c r="F410" s="170"/>
      <c r="G410" s="170"/>
    </row>
    <row r="411">
      <c r="A411" s="170"/>
      <c r="B411" s="170"/>
      <c r="C411" s="170"/>
      <c r="D411" s="170"/>
      <c r="E411" s="170"/>
      <c r="F411" s="170"/>
      <c r="G411" s="170"/>
    </row>
    <row r="412">
      <c r="A412" s="170"/>
      <c r="B412" s="170"/>
      <c r="C412" s="170"/>
      <c r="D412" s="170"/>
      <c r="E412" s="170"/>
      <c r="F412" s="170"/>
      <c r="G412" s="170"/>
    </row>
    <row r="413">
      <c r="A413" s="170"/>
      <c r="B413" s="170"/>
      <c r="C413" s="170"/>
      <c r="D413" s="170"/>
      <c r="E413" s="170"/>
      <c r="F413" s="170"/>
      <c r="G413" s="170"/>
    </row>
    <row r="414">
      <c r="A414" s="170"/>
      <c r="B414" s="170"/>
      <c r="C414" s="170"/>
      <c r="D414" s="170"/>
      <c r="E414" s="170"/>
      <c r="F414" s="170"/>
      <c r="G414" s="170"/>
    </row>
    <row r="415">
      <c r="A415" s="170"/>
      <c r="B415" s="170"/>
      <c r="C415" s="170"/>
      <c r="D415" s="170"/>
      <c r="E415" s="170"/>
      <c r="F415" s="170"/>
      <c r="G415" s="170"/>
    </row>
    <row r="416">
      <c r="A416" s="170"/>
      <c r="B416" s="170"/>
      <c r="C416" s="170"/>
      <c r="D416" s="170"/>
      <c r="E416" s="170"/>
      <c r="F416" s="170"/>
      <c r="G416" s="170"/>
    </row>
    <row r="417">
      <c r="A417" s="170"/>
      <c r="B417" s="170"/>
      <c r="C417" s="170"/>
      <c r="D417" s="170"/>
      <c r="E417" s="170"/>
      <c r="F417" s="170"/>
      <c r="G417" s="170"/>
    </row>
    <row r="418">
      <c r="A418" s="170"/>
      <c r="B418" s="170"/>
      <c r="C418" s="170"/>
      <c r="D418" s="170"/>
      <c r="E418" s="170"/>
      <c r="F418" s="170"/>
      <c r="G418" s="170"/>
    </row>
    <row r="419">
      <c r="A419" s="170"/>
      <c r="B419" s="170"/>
      <c r="C419" s="170"/>
      <c r="D419" s="170"/>
      <c r="E419" s="170"/>
      <c r="F419" s="170"/>
      <c r="G419" s="170"/>
    </row>
    <row r="420">
      <c r="A420" s="170"/>
      <c r="B420" s="170"/>
      <c r="C420" s="170"/>
      <c r="D420" s="170"/>
      <c r="E420" s="170"/>
      <c r="F420" s="170"/>
      <c r="G420" s="170"/>
    </row>
    <row r="421">
      <c r="A421" s="170"/>
      <c r="B421" s="170"/>
      <c r="C421" s="170"/>
      <c r="D421" s="170"/>
      <c r="E421" s="170"/>
      <c r="F421" s="170"/>
      <c r="G421" s="170"/>
    </row>
    <row r="422">
      <c r="A422" s="170"/>
      <c r="B422" s="170"/>
      <c r="C422" s="170"/>
      <c r="D422" s="170"/>
      <c r="E422" s="170"/>
      <c r="F422" s="170"/>
      <c r="G422" s="170"/>
    </row>
    <row r="423">
      <c r="A423" s="170"/>
      <c r="B423" s="170"/>
      <c r="C423" s="170"/>
      <c r="D423" s="170"/>
      <c r="E423" s="170"/>
      <c r="F423" s="170"/>
      <c r="G423" s="170"/>
    </row>
    <row r="424">
      <c r="A424" s="170"/>
      <c r="B424" s="170"/>
      <c r="C424" s="170"/>
      <c r="D424" s="170"/>
      <c r="E424" s="170"/>
      <c r="F424" s="170"/>
      <c r="G424" s="170"/>
    </row>
    <row r="425">
      <c r="A425" s="170"/>
      <c r="B425" s="170"/>
      <c r="C425" s="170"/>
      <c r="D425" s="170"/>
      <c r="E425" s="170"/>
      <c r="F425" s="170"/>
      <c r="G425" s="170"/>
    </row>
    <row r="426">
      <c r="A426" s="170"/>
      <c r="B426" s="170"/>
      <c r="C426" s="170"/>
      <c r="D426" s="170"/>
      <c r="E426" s="170"/>
      <c r="F426" s="170"/>
      <c r="G426" s="170"/>
    </row>
    <row r="427">
      <c r="A427" s="170"/>
      <c r="B427" s="170"/>
      <c r="C427" s="170"/>
      <c r="D427" s="170"/>
      <c r="E427" s="170"/>
      <c r="F427" s="170"/>
      <c r="G427" s="170"/>
    </row>
    <row r="428">
      <c r="A428" s="170"/>
      <c r="B428" s="170"/>
      <c r="C428" s="170"/>
      <c r="D428" s="170"/>
      <c r="E428" s="170"/>
      <c r="F428" s="170"/>
      <c r="G428" s="170"/>
    </row>
    <row r="429">
      <c r="A429" s="170"/>
      <c r="B429" s="170"/>
      <c r="C429" s="170"/>
      <c r="D429" s="170"/>
      <c r="E429" s="170"/>
      <c r="F429" s="170"/>
      <c r="G429" s="170"/>
    </row>
    <row r="430">
      <c r="A430" s="170"/>
      <c r="B430" s="170"/>
      <c r="C430" s="170"/>
      <c r="D430" s="170"/>
      <c r="E430" s="170"/>
      <c r="F430" s="170"/>
      <c r="G430" s="170"/>
    </row>
    <row r="431">
      <c r="A431" s="170"/>
      <c r="B431" s="170"/>
      <c r="C431" s="170"/>
      <c r="D431" s="170"/>
      <c r="E431" s="170"/>
      <c r="F431" s="170"/>
      <c r="G431" s="170"/>
    </row>
    <row r="432">
      <c r="A432" s="170"/>
      <c r="B432" s="170"/>
      <c r="C432" s="170"/>
      <c r="D432" s="170"/>
      <c r="E432" s="170"/>
      <c r="F432" s="170"/>
      <c r="G432" s="170"/>
    </row>
    <row r="433">
      <c r="A433" s="170"/>
      <c r="B433" s="170"/>
      <c r="C433" s="170"/>
      <c r="D433" s="170"/>
      <c r="E433" s="170"/>
      <c r="F433" s="170"/>
      <c r="G433" s="170"/>
    </row>
    <row r="434">
      <c r="A434" s="170"/>
      <c r="B434" s="170"/>
      <c r="C434" s="170"/>
      <c r="D434" s="170"/>
      <c r="E434" s="170"/>
      <c r="F434" s="170"/>
      <c r="G434" s="170"/>
    </row>
    <row r="435">
      <c r="A435" s="170"/>
      <c r="B435" s="170"/>
      <c r="C435" s="170"/>
      <c r="D435" s="170"/>
      <c r="E435" s="170"/>
      <c r="F435" s="170"/>
      <c r="G435" s="170"/>
    </row>
    <row r="436">
      <c r="A436" s="170"/>
      <c r="B436" s="170"/>
      <c r="C436" s="170"/>
      <c r="D436" s="170"/>
      <c r="E436" s="170"/>
      <c r="F436" s="170"/>
      <c r="G436" s="170"/>
    </row>
    <row r="437">
      <c r="A437" s="170"/>
      <c r="B437" s="170"/>
      <c r="C437" s="170"/>
      <c r="D437" s="170"/>
      <c r="E437" s="170"/>
      <c r="F437" s="170"/>
      <c r="G437" s="170"/>
    </row>
    <row r="438">
      <c r="A438" s="170"/>
      <c r="B438" s="170"/>
      <c r="C438" s="170"/>
      <c r="D438" s="170"/>
      <c r="E438" s="170"/>
      <c r="F438" s="170"/>
      <c r="G438" s="170"/>
    </row>
    <row r="439">
      <c r="A439" s="170"/>
      <c r="B439" s="170"/>
      <c r="C439" s="170"/>
      <c r="D439" s="170"/>
      <c r="E439" s="170"/>
      <c r="F439" s="170"/>
      <c r="G439" s="170"/>
    </row>
    <row r="440">
      <c r="A440" s="170"/>
      <c r="B440" s="170"/>
      <c r="C440" s="170"/>
      <c r="D440" s="170"/>
      <c r="E440" s="170"/>
      <c r="F440" s="170"/>
      <c r="G440" s="170"/>
    </row>
    <row r="441">
      <c r="A441" s="170"/>
      <c r="B441" s="170"/>
      <c r="C441" s="170"/>
      <c r="D441" s="170"/>
      <c r="E441" s="170"/>
      <c r="F441" s="170"/>
      <c r="G441" s="170"/>
    </row>
    <row r="442">
      <c r="A442" s="170"/>
      <c r="B442" s="170"/>
      <c r="C442" s="170"/>
      <c r="D442" s="170"/>
      <c r="E442" s="170"/>
      <c r="F442" s="170"/>
      <c r="G442" s="170"/>
    </row>
    <row r="443">
      <c r="A443" s="170"/>
      <c r="B443" s="170"/>
      <c r="C443" s="170"/>
      <c r="D443" s="170"/>
      <c r="E443" s="170"/>
      <c r="F443" s="170"/>
      <c r="G443" s="170"/>
    </row>
    <row r="444">
      <c r="A444" s="170"/>
      <c r="B444" s="170"/>
      <c r="C444" s="170"/>
      <c r="D444" s="170"/>
      <c r="E444" s="170"/>
      <c r="F444" s="170"/>
      <c r="G444" s="170"/>
    </row>
    <row r="445">
      <c r="A445" s="170"/>
      <c r="B445" s="170"/>
      <c r="C445" s="170"/>
      <c r="D445" s="170"/>
      <c r="E445" s="170"/>
      <c r="F445" s="170"/>
      <c r="G445" s="170"/>
    </row>
    <row r="446">
      <c r="A446" s="170"/>
      <c r="B446" s="170"/>
      <c r="C446" s="170"/>
      <c r="D446" s="170"/>
      <c r="E446" s="170"/>
      <c r="F446" s="170"/>
      <c r="G446" s="170"/>
    </row>
    <row r="447">
      <c r="A447" s="170"/>
      <c r="B447" s="170"/>
      <c r="C447" s="170"/>
      <c r="D447" s="170"/>
      <c r="E447" s="170"/>
      <c r="F447" s="170"/>
      <c r="G447" s="170"/>
    </row>
    <row r="448">
      <c r="A448" s="170"/>
      <c r="B448" s="170"/>
      <c r="C448" s="170"/>
      <c r="D448" s="170"/>
      <c r="E448" s="170"/>
      <c r="F448" s="170"/>
      <c r="G448" s="170"/>
    </row>
    <row r="449">
      <c r="A449" s="170"/>
      <c r="B449" s="170"/>
      <c r="C449" s="170"/>
      <c r="D449" s="170"/>
      <c r="E449" s="170"/>
      <c r="F449" s="170"/>
      <c r="G449" s="170"/>
    </row>
    <row r="450">
      <c r="A450" s="170"/>
      <c r="B450" s="170"/>
      <c r="C450" s="170"/>
      <c r="D450" s="170"/>
      <c r="E450" s="170"/>
      <c r="F450" s="170"/>
      <c r="G450" s="170"/>
    </row>
    <row r="451">
      <c r="A451" s="170"/>
      <c r="B451" s="170"/>
      <c r="C451" s="170"/>
      <c r="D451" s="170"/>
      <c r="E451" s="170"/>
      <c r="F451" s="170"/>
      <c r="G451" s="170"/>
    </row>
    <row r="452">
      <c r="A452" s="170"/>
      <c r="B452" s="170"/>
      <c r="C452" s="170"/>
      <c r="D452" s="170"/>
      <c r="E452" s="170"/>
      <c r="F452" s="170"/>
      <c r="G452" s="170"/>
    </row>
    <row r="453">
      <c r="A453" s="170"/>
      <c r="B453" s="170"/>
      <c r="C453" s="170"/>
      <c r="D453" s="170"/>
      <c r="E453" s="170"/>
      <c r="F453" s="170"/>
      <c r="G453" s="170"/>
    </row>
    <row r="454">
      <c r="A454" s="170"/>
      <c r="B454" s="170"/>
      <c r="C454" s="170"/>
      <c r="D454" s="170"/>
      <c r="E454" s="170"/>
      <c r="F454" s="170"/>
      <c r="G454" s="170"/>
    </row>
    <row r="455">
      <c r="A455" s="170"/>
      <c r="B455" s="170"/>
      <c r="C455" s="170"/>
      <c r="D455" s="170"/>
      <c r="E455" s="170"/>
      <c r="F455" s="170"/>
      <c r="G455" s="170"/>
    </row>
    <row r="456">
      <c r="A456" s="170"/>
      <c r="B456" s="170"/>
      <c r="C456" s="170"/>
      <c r="D456" s="170"/>
      <c r="E456" s="170"/>
      <c r="F456" s="170"/>
      <c r="G456" s="170"/>
    </row>
    <row r="457">
      <c r="A457" s="170"/>
      <c r="B457" s="170"/>
      <c r="C457" s="170"/>
      <c r="D457" s="170"/>
      <c r="E457" s="170"/>
      <c r="F457" s="170"/>
      <c r="G457" s="170"/>
    </row>
    <row r="458">
      <c r="A458" s="170"/>
      <c r="B458" s="170"/>
      <c r="C458" s="170"/>
      <c r="D458" s="170"/>
      <c r="E458" s="170"/>
      <c r="F458" s="170"/>
      <c r="G458" s="170"/>
    </row>
    <row r="459">
      <c r="A459" s="170"/>
      <c r="B459" s="170"/>
      <c r="C459" s="170"/>
      <c r="D459" s="170"/>
      <c r="E459" s="170"/>
      <c r="F459" s="170"/>
      <c r="G459" s="170"/>
    </row>
    <row r="460">
      <c r="A460" s="170"/>
      <c r="B460" s="170"/>
      <c r="C460" s="170"/>
      <c r="D460" s="170"/>
      <c r="E460" s="170"/>
      <c r="F460" s="170"/>
      <c r="G460" s="170"/>
    </row>
    <row r="461">
      <c r="A461" s="170"/>
      <c r="B461" s="170"/>
      <c r="C461" s="170"/>
      <c r="D461" s="170"/>
      <c r="E461" s="170"/>
      <c r="F461" s="170"/>
      <c r="G461" s="170"/>
    </row>
    <row r="462">
      <c r="A462" s="170"/>
      <c r="B462" s="170"/>
      <c r="C462" s="170"/>
      <c r="D462" s="170"/>
      <c r="E462" s="170"/>
      <c r="F462" s="170"/>
      <c r="G462" s="170"/>
    </row>
    <row r="463">
      <c r="A463" s="170"/>
      <c r="B463" s="170"/>
      <c r="C463" s="170"/>
      <c r="D463" s="170"/>
      <c r="E463" s="170"/>
      <c r="F463" s="170"/>
      <c r="G463" s="170"/>
    </row>
    <row r="464">
      <c r="A464" s="170"/>
      <c r="B464" s="170"/>
      <c r="C464" s="170"/>
      <c r="D464" s="170"/>
      <c r="E464" s="170"/>
      <c r="F464" s="170"/>
      <c r="G464" s="170"/>
    </row>
    <row r="465">
      <c r="A465" s="170"/>
      <c r="B465" s="170"/>
      <c r="C465" s="170"/>
      <c r="D465" s="170"/>
      <c r="E465" s="170"/>
      <c r="F465" s="170"/>
      <c r="G465" s="170"/>
    </row>
    <row r="466">
      <c r="A466" s="170"/>
      <c r="B466" s="170"/>
      <c r="C466" s="170"/>
      <c r="D466" s="170"/>
      <c r="E466" s="170"/>
      <c r="F466" s="170"/>
      <c r="G466" s="170"/>
    </row>
    <row r="467">
      <c r="A467" s="170"/>
      <c r="B467" s="170"/>
      <c r="C467" s="170"/>
      <c r="D467" s="170"/>
      <c r="E467" s="170"/>
      <c r="F467" s="170"/>
      <c r="G467" s="170"/>
    </row>
    <row r="468">
      <c r="A468" s="170"/>
      <c r="B468" s="170"/>
      <c r="C468" s="170"/>
      <c r="D468" s="170"/>
      <c r="E468" s="170"/>
      <c r="F468" s="170"/>
      <c r="G468" s="170"/>
    </row>
    <row r="469">
      <c r="A469" s="170"/>
      <c r="B469" s="170"/>
      <c r="C469" s="170"/>
      <c r="D469" s="170"/>
      <c r="E469" s="170"/>
      <c r="F469" s="170"/>
      <c r="G469" s="170"/>
    </row>
    <row r="470">
      <c r="A470" s="170"/>
      <c r="B470" s="170"/>
      <c r="C470" s="170"/>
      <c r="D470" s="170"/>
      <c r="E470" s="170"/>
      <c r="F470" s="170"/>
      <c r="G470" s="170"/>
    </row>
    <row r="471">
      <c r="A471" s="170"/>
      <c r="B471" s="170"/>
      <c r="C471" s="170"/>
      <c r="D471" s="170"/>
      <c r="E471" s="170"/>
      <c r="F471" s="170"/>
      <c r="G471" s="170"/>
    </row>
    <row r="472">
      <c r="A472" s="170"/>
      <c r="B472" s="170"/>
      <c r="C472" s="170"/>
      <c r="D472" s="170"/>
      <c r="E472" s="170"/>
      <c r="F472" s="170"/>
      <c r="G472" s="170"/>
    </row>
    <row r="473">
      <c r="A473" s="170"/>
      <c r="B473" s="170"/>
      <c r="C473" s="170"/>
      <c r="D473" s="170"/>
      <c r="E473" s="170"/>
      <c r="F473" s="170"/>
      <c r="G473" s="170"/>
    </row>
    <row r="474">
      <c r="A474" s="170"/>
      <c r="B474" s="170"/>
      <c r="C474" s="170"/>
      <c r="D474" s="170"/>
      <c r="E474" s="170"/>
      <c r="F474" s="170"/>
      <c r="G474" s="170"/>
    </row>
    <row r="475">
      <c r="A475" s="170"/>
      <c r="B475" s="170"/>
      <c r="C475" s="170"/>
      <c r="D475" s="170"/>
      <c r="E475" s="170"/>
      <c r="F475" s="170"/>
      <c r="G475" s="170"/>
    </row>
    <row r="476">
      <c r="A476" s="170"/>
      <c r="B476" s="170"/>
      <c r="C476" s="170"/>
      <c r="D476" s="170"/>
      <c r="E476" s="170"/>
      <c r="F476" s="170"/>
      <c r="G476" s="170"/>
    </row>
    <row r="477">
      <c r="A477" s="170"/>
      <c r="B477" s="170"/>
      <c r="C477" s="170"/>
      <c r="D477" s="170"/>
      <c r="E477" s="170"/>
      <c r="F477" s="170"/>
      <c r="G477" s="170"/>
    </row>
    <row r="478">
      <c r="A478" s="170"/>
      <c r="B478" s="170"/>
      <c r="C478" s="170"/>
      <c r="D478" s="170"/>
      <c r="E478" s="170"/>
      <c r="F478" s="170"/>
      <c r="G478" s="170"/>
    </row>
    <row r="479">
      <c r="A479" s="170"/>
      <c r="B479" s="170"/>
      <c r="C479" s="170"/>
      <c r="D479" s="170"/>
      <c r="E479" s="170"/>
      <c r="F479" s="170"/>
      <c r="G479" s="170"/>
    </row>
    <row r="480">
      <c r="A480" s="170"/>
      <c r="B480" s="170"/>
      <c r="C480" s="170"/>
      <c r="D480" s="170"/>
      <c r="E480" s="170"/>
      <c r="F480" s="170"/>
      <c r="G480" s="170"/>
    </row>
    <row r="481">
      <c r="A481" s="170"/>
      <c r="B481" s="170"/>
      <c r="C481" s="170"/>
      <c r="D481" s="170"/>
      <c r="E481" s="170"/>
      <c r="F481" s="170"/>
      <c r="G481" s="170"/>
    </row>
    <row r="482">
      <c r="A482" s="170"/>
      <c r="B482" s="170"/>
      <c r="C482" s="170"/>
      <c r="D482" s="170"/>
      <c r="E482" s="170"/>
      <c r="F482" s="170"/>
      <c r="G482" s="170"/>
    </row>
    <row r="483">
      <c r="A483" s="170"/>
      <c r="B483" s="170"/>
      <c r="C483" s="170"/>
      <c r="D483" s="170"/>
      <c r="E483" s="170"/>
      <c r="F483" s="170"/>
      <c r="G483" s="170"/>
    </row>
    <row r="484">
      <c r="A484" s="170"/>
      <c r="B484" s="170"/>
      <c r="C484" s="170"/>
      <c r="D484" s="170"/>
      <c r="E484" s="170"/>
      <c r="F484" s="170"/>
      <c r="G484" s="170"/>
    </row>
    <row r="485">
      <c r="A485" s="170"/>
      <c r="B485" s="170"/>
      <c r="C485" s="170"/>
      <c r="D485" s="170"/>
      <c r="E485" s="170"/>
      <c r="F485" s="170"/>
      <c r="G485" s="170"/>
    </row>
    <row r="486">
      <c r="A486" s="170"/>
      <c r="B486" s="170"/>
      <c r="C486" s="170"/>
      <c r="D486" s="170"/>
      <c r="E486" s="170"/>
      <c r="F486" s="170"/>
      <c r="G486" s="170"/>
    </row>
    <row r="487">
      <c r="A487" s="170"/>
      <c r="B487" s="170"/>
      <c r="C487" s="170"/>
      <c r="D487" s="170"/>
      <c r="E487" s="170"/>
      <c r="F487" s="170"/>
      <c r="G487" s="170"/>
    </row>
    <row r="488">
      <c r="A488" s="170"/>
      <c r="B488" s="170"/>
      <c r="C488" s="170"/>
      <c r="D488" s="170"/>
      <c r="E488" s="170"/>
      <c r="F488" s="170"/>
      <c r="G488" s="170"/>
    </row>
    <row r="489">
      <c r="A489" s="170"/>
      <c r="B489" s="170"/>
      <c r="C489" s="170"/>
      <c r="D489" s="170"/>
      <c r="E489" s="170"/>
      <c r="F489" s="170"/>
      <c r="G489" s="170"/>
    </row>
    <row r="490">
      <c r="A490" s="170"/>
      <c r="B490" s="170"/>
      <c r="C490" s="170"/>
      <c r="D490" s="170"/>
      <c r="E490" s="170"/>
      <c r="F490" s="170"/>
      <c r="G490" s="170"/>
    </row>
    <row r="491">
      <c r="A491" s="170"/>
      <c r="B491" s="170"/>
      <c r="C491" s="170"/>
      <c r="D491" s="170"/>
      <c r="E491" s="170"/>
      <c r="F491" s="170"/>
      <c r="G491" s="170"/>
    </row>
    <row r="492">
      <c r="A492" s="170"/>
      <c r="B492" s="170"/>
      <c r="C492" s="170"/>
      <c r="D492" s="170"/>
      <c r="E492" s="170"/>
      <c r="F492" s="170"/>
      <c r="G492" s="170"/>
    </row>
    <row r="493">
      <c r="A493" s="170"/>
      <c r="B493" s="170"/>
      <c r="C493" s="170"/>
      <c r="D493" s="170"/>
      <c r="E493" s="170"/>
      <c r="F493" s="170"/>
      <c r="G493" s="170"/>
    </row>
    <row r="494">
      <c r="A494" s="170"/>
      <c r="B494" s="170"/>
      <c r="C494" s="170"/>
      <c r="D494" s="170"/>
      <c r="E494" s="170"/>
      <c r="F494" s="170"/>
      <c r="G494" s="170"/>
    </row>
    <row r="495">
      <c r="A495" s="170"/>
      <c r="B495" s="170"/>
      <c r="C495" s="170"/>
      <c r="D495" s="170"/>
      <c r="E495" s="170"/>
      <c r="F495" s="170"/>
      <c r="G495" s="170"/>
    </row>
    <row r="496">
      <c r="A496" s="170"/>
      <c r="B496" s="170"/>
      <c r="C496" s="170"/>
      <c r="D496" s="170"/>
      <c r="E496" s="170"/>
      <c r="F496" s="170"/>
      <c r="G496" s="170"/>
    </row>
    <row r="497">
      <c r="A497" s="170"/>
      <c r="B497" s="170"/>
      <c r="C497" s="170"/>
      <c r="D497" s="170"/>
      <c r="E497" s="170"/>
      <c r="F497" s="170"/>
      <c r="G497" s="170"/>
    </row>
    <row r="498">
      <c r="A498" s="170"/>
      <c r="B498" s="170"/>
      <c r="C498" s="170"/>
      <c r="D498" s="170"/>
      <c r="E498" s="170"/>
      <c r="F498" s="170"/>
      <c r="G498" s="170"/>
    </row>
    <row r="499">
      <c r="A499" s="170"/>
      <c r="B499" s="170"/>
      <c r="C499" s="170"/>
      <c r="D499" s="170"/>
      <c r="E499" s="170"/>
      <c r="F499" s="170"/>
      <c r="G499" s="170"/>
    </row>
    <row r="500">
      <c r="A500" s="170"/>
      <c r="B500" s="170"/>
      <c r="C500" s="170"/>
      <c r="D500" s="170"/>
      <c r="E500" s="170"/>
      <c r="F500" s="170"/>
      <c r="G500" s="170"/>
    </row>
    <row r="501">
      <c r="A501" s="170"/>
      <c r="B501" s="170"/>
      <c r="C501" s="170"/>
      <c r="D501" s="170"/>
      <c r="E501" s="170"/>
      <c r="F501" s="170"/>
      <c r="G501" s="170"/>
    </row>
    <row r="502">
      <c r="A502" s="170"/>
      <c r="B502" s="170"/>
      <c r="C502" s="170"/>
      <c r="D502" s="170"/>
      <c r="E502" s="170"/>
      <c r="F502" s="170"/>
      <c r="G502" s="170"/>
    </row>
    <row r="503">
      <c r="A503" s="170"/>
      <c r="B503" s="170"/>
      <c r="C503" s="170"/>
      <c r="D503" s="170"/>
      <c r="E503" s="170"/>
      <c r="F503" s="170"/>
      <c r="G503" s="170"/>
    </row>
    <row r="504">
      <c r="A504" s="170"/>
      <c r="B504" s="170"/>
      <c r="C504" s="170"/>
      <c r="D504" s="170"/>
      <c r="E504" s="170"/>
      <c r="F504" s="170"/>
      <c r="G504" s="170"/>
    </row>
    <row r="505">
      <c r="A505" s="170"/>
      <c r="B505" s="170"/>
      <c r="C505" s="170"/>
      <c r="D505" s="170"/>
      <c r="E505" s="170"/>
      <c r="F505" s="170"/>
      <c r="G505" s="170"/>
    </row>
    <row r="506">
      <c r="A506" s="170"/>
      <c r="B506" s="170"/>
      <c r="C506" s="170"/>
      <c r="D506" s="170"/>
      <c r="E506" s="170"/>
      <c r="F506" s="170"/>
      <c r="G506" s="170"/>
    </row>
    <row r="507">
      <c r="A507" s="170"/>
      <c r="B507" s="170"/>
      <c r="C507" s="170"/>
      <c r="D507" s="170"/>
      <c r="E507" s="170"/>
      <c r="F507" s="170"/>
      <c r="G507" s="170"/>
    </row>
    <row r="508">
      <c r="A508" s="170"/>
      <c r="B508" s="170"/>
      <c r="C508" s="170"/>
      <c r="D508" s="170"/>
      <c r="E508" s="170"/>
      <c r="F508" s="170"/>
      <c r="G508" s="170"/>
    </row>
    <row r="509">
      <c r="A509" s="170"/>
      <c r="B509" s="170"/>
      <c r="C509" s="170"/>
      <c r="D509" s="170"/>
      <c r="E509" s="170"/>
      <c r="F509" s="170"/>
      <c r="G509" s="170"/>
    </row>
    <row r="510">
      <c r="A510" s="170"/>
      <c r="B510" s="170"/>
      <c r="C510" s="170"/>
      <c r="D510" s="170"/>
      <c r="E510" s="170"/>
      <c r="F510" s="170"/>
      <c r="G510" s="170"/>
    </row>
    <row r="511">
      <c r="A511" s="170"/>
      <c r="B511" s="170"/>
      <c r="C511" s="170"/>
      <c r="D511" s="170"/>
      <c r="E511" s="170"/>
      <c r="F511" s="170"/>
      <c r="G511" s="170"/>
    </row>
    <row r="512">
      <c r="A512" s="170"/>
      <c r="B512" s="170"/>
      <c r="C512" s="170"/>
      <c r="D512" s="170"/>
      <c r="E512" s="170"/>
      <c r="F512" s="170"/>
      <c r="G512" s="170"/>
    </row>
    <row r="513">
      <c r="A513" s="170"/>
      <c r="B513" s="170"/>
      <c r="C513" s="170"/>
      <c r="D513" s="170"/>
      <c r="E513" s="170"/>
      <c r="F513" s="170"/>
      <c r="G513" s="170"/>
    </row>
    <row r="514">
      <c r="A514" s="170"/>
      <c r="B514" s="170"/>
      <c r="C514" s="170"/>
      <c r="D514" s="170"/>
      <c r="E514" s="170"/>
      <c r="F514" s="170"/>
      <c r="G514" s="170"/>
    </row>
    <row r="515">
      <c r="A515" s="170"/>
      <c r="B515" s="170"/>
      <c r="C515" s="170"/>
      <c r="D515" s="170"/>
      <c r="E515" s="170"/>
      <c r="F515" s="170"/>
      <c r="G515" s="170"/>
    </row>
    <row r="516">
      <c r="A516" s="170"/>
      <c r="B516" s="170"/>
      <c r="C516" s="170"/>
      <c r="D516" s="170"/>
      <c r="E516" s="170"/>
      <c r="F516" s="170"/>
      <c r="G516" s="170"/>
    </row>
    <row r="517">
      <c r="A517" s="170"/>
      <c r="B517" s="170"/>
      <c r="C517" s="170"/>
      <c r="D517" s="170"/>
      <c r="E517" s="170"/>
      <c r="F517" s="170"/>
      <c r="G517" s="170"/>
    </row>
    <row r="518">
      <c r="A518" s="170"/>
      <c r="B518" s="170"/>
      <c r="C518" s="170"/>
      <c r="D518" s="170"/>
      <c r="E518" s="170"/>
      <c r="F518" s="170"/>
      <c r="G518" s="170"/>
    </row>
    <row r="519">
      <c r="A519" s="170"/>
      <c r="B519" s="170"/>
      <c r="C519" s="170"/>
      <c r="D519" s="170"/>
      <c r="E519" s="170"/>
      <c r="F519" s="170"/>
      <c r="G519" s="170"/>
    </row>
    <row r="520">
      <c r="A520" s="170"/>
      <c r="B520" s="170"/>
      <c r="C520" s="170"/>
      <c r="D520" s="170"/>
      <c r="E520" s="170"/>
      <c r="F520" s="170"/>
      <c r="G520" s="170"/>
    </row>
    <row r="521">
      <c r="A521" s="170"/>
      <c r="B521" s="170"/>
      <c r="C521" s="170"/>
      <c r="D521" s="170"/>
      <c r="E521" s="170"/>
      <c r="F521" s="170"/>
      <c r="G521" s="170"/>
    </row>
    <row r="522">
      <c r="A522" s="170"/>
      <c r="B522" s="170"/>
      <c r="C522" s="170"/>
      <c r="D522" s="170"/>
      <c r="E522" s="170"/>
      <c r="F522" s="170"/>
      <c r="G522" s="170"/>
    </row>
    <row r="523">
      <c r="A523" s="170"/>
      <c r="B523" s="170"/>
      <c r="C523" s="170"/>
      <c r="D523" s="170"/>
      <c r="E523" s="170"/>
      <c r="F523" s="170"/>
      <c r="G523" s="170"/>
    </row>
    <row r="524">
      <c r="A524" s="170"/>
      <c r="B524" s="170"/>
      <c r="C524" s="170"/>
      <c r="D524" s="170"/>
      <c r="E524" s="170"/>
      <c r="F524" s="170"/>
      <c r="G524" s="170"/>
    </row>
    <row r="525">
      <c r="A525" s="170"/>
      <c r="B525" s="170"/>
      <c r="C525" s="170"/>
      <c r="D525" s="170"/>
      <c r="E525" s="170"/>
      <c r="F525" s="170"/>
      <c r="G525" s="170"/>
    </row>
    <row r="526">
      <c r="A526" s="170"/>
      <c r="B526" s="170"/>
      <c r="C526" s="170"/>
      <c r="D526" s="170"/>
      <c r="E526" s="170"/>
      <c r="F526" s="170"/>
      <c r="G526" s="170"/>
    </row>
    <row r="527">
      <c r="A527" s="170"/>
      <c r="B527" s="170"/>
      <c r="C527" s="170"/>
      <c r="D527" s="170"/>
      <c r="E527" s="170"/>
      <c r="F527" s="170"/>
      <c r="G527" s="170"/>
    </row>
    <row r="528">
      <c r="A528" s="170"/>
      <c r="B528" s="170"/>
      <c r="C528" s="170"/>
      <c r="D528" s="170"/>
      <c r="E528" s="170"/>
      <c r="F528" s="170"/>
      <c r="G528" s="170"/>
    </row>
    <row r="529">
      <c r="A529" s="170"/>
      <c r="B529" s="170"/>
      <c r="C529" s="170"/>
      <c r="D529" s="170"/>
      <c r="E529" s="170"/>
      <c r="F529" s="170"/>
      <c r="G529" s="170"/>
    </row>
    <row r="530">
      <c r="A530" s="170"/>
      <c r="B530" s="170"/>
      <c r="C530" s="170"/>
      <c r="D530" s="170"/>
      <c r="E530" s="170"/>
      <c r="F530" s="170"/>
      <c r="G530" s="170"/>
    </row>
    <row r="531">
      <c r="A531" s="170"/>
      <c r="B531" s="170"/>
      <c r="C531" s="170"/>
      <c r="D531" s="170"/>
      <c r="E531" s="170"/>
      <c r="F531" s="170"/>
      <c r="G531" s="170"/>
    </row>
    <row r="532">
      <c r="A532" s="170"/>
      <c r="B532" s="170"/>
      <c r="C532" s="170"/>
      <c r="D532" s="170"/>
      <c r="E532" s="170"/>
      <c r="F532" s="170"/>
      <c r="G532" s="170"/>
    </row>
    <row r="533">
      <c r="A533" s="170"/>
      <c r="B533" s="170"/>
      <c r="C533" s="170"/>
      <c r="D533" s="170"/>
      <c r="E533" s="170"/>
      <c r="F533" s="170"/>
      <c r="G533" s="170"/>
    </row>
    <row r="534">
      <c r="A534" s="170"/>
      <c r="B534" s="170"/>
      <c r="C534" s="170"/>
      <c r="D534" s="170"/>
      <c r="E534" s="170"/>
      <c r="F534" s="170"/>
      <c r="G534" s="170"/>
    </row>
    <row r="535">
      <c r="A535" s="170"/>
      <c r="B535" s="170"/>
      <c r="C535" s="170"/>
      <c r="D535" s="170"/>
      <c r="E535" s="170"/>
      <c r="F535" s="170"/>
      <c r="G535" s="170"/>
    </row>
    <row r="536">
      <c r="A536" s="170"/>
      <c r="B536" s="170"/>
      <c r="C536" s="170"/>
      <c r="D536" s="170"/>
      <c r="E536" s="170"/>
      <c r="F536" s="170"/>
      <c r="G536" s="170"/>
    </row>
    <row r="537">
      <c r="A537" s="170"/>
      <c r="B537" s="170"/>
      <c r="C537" s="170"/>
      <c r="D537" s="170"/>
      <c r="E537" s="170"/>
      <c r="F537" s="170"/>
      <c r="G537" s="170"/>
    </row>
    <row r="538">
      <c r="A538" s="170"/>
      <c r="B538" s="170"/>
      <c r="C538" s="170"/>
      <c r="D538" s="170"/>
      <c r="E538" s="170"/>
      <c r="F538" s="170"/>
      <c r="G538" s="170"/>
    </row>
    <row r="539">
      <c r="A539" s="170"/>
      <c r="B539" s="170"/>
      <c r="C539" s="170"/>
      <c r="D539" s="170"/>
      <c r="E539" s="170"/>
      <c r="F539" s="170"/>
      <c r="G539" s="170"/>
    </row>
    <row r="540">
      <c r="A540" s="170"/>
      <c r="B540" s="170"/>
      <c r="C540" s="170"/>
      <c r="D540" s="170"/>
      <c r="E540" s="170"/>
      <c r="F540" s="170"/>
      <c r="G540" s="170"/>
    </row>
    <row r="541">
      <c r="A541" s="170"/>
      <c r="B541" s="170"/>
      <c r="C541" s="170"/>
      <c r="D541" s="170"/>
      <c r="E541" s="170"/>
      <c r="F541" s="170"/>
      <c r="G541" s="170"/>
    </row>
    <row r="542">
      <c r="A542" s="170"/>
      <c r="B542" s="170"/>
      <c r="C542" s="170"/>
      <c r="D542" s="170"/>
      <c r="E542" s="170"/>
      <c r="F542" s="170"/>
      <c r="G542" s="170"/>
    </row>
    <row r="543">
      <c r="A543" s="170"/>
      <c r="B543" s="170"/>
      <c r="C543" s="170"/>
      <c r="D543" s="170"/>
      <c r="E543" s="170"/>
      <c r="F543" s="170"/>
      <c r="G543" s="170"/>
    </row>
    <row r="544">
      <c r="A544" s="170"/>
      <c r="B544" s="170"/>
      <c r="C544" s="170"/>
      <c r="D544" s="170"/>
      <c r="E544" s="170"/>
      <c r="F544" s="170"/>
      <c r="G544" s="170"/>
    </row>
    <row r="545">
      <c r="A545" s="170"/>
      <c r="B545" s="170"/>
      <c r="C545" s="170"/>
      <c r="D545" s="170"/>
      <c r="E545" s="170"/>
      <c r="F545" s="170"/>
      <c r="G545" s="170"/>
    </row>
    <row r="546">
      <c r="A546" s="170"/>
      <c r="B546" s="170"/>
      <c r="C546" s="170"/>
      <c r="D546" s="170"/>
      <c r="E546" s="170"/>
      <c r="F546" s="170"/>
      <c r="G546" s="170"/>
    </row>
    <row r="547">
      <c r="A547" s="170"/>
      <c r="B547" s="170"/>
      <c r="C547" s="170"/>
      <c r="D547" s="170"/>
      <c r="E547" s="170"/>
      <c r="F547" s="170"/>
      <c r="G547" s="170"/>
    </row>
    <row r="548">
      <c r="A548" s="170"/>
      <c r="B548" s="170"/>
      <c r="C548" s="170"/>
      <c r="D548" s="170"/>
      <c r="E548" s="170"/>
      <c r="F548" s="170"/>
      <c r="G548" s="170"/>
    </row>
    <row r="549">
      <c r="A549" s="170"/>
      <c r="B549" s="170"/>
      <c r="C549" s="170"/>
      <c r="D549" s="170"/>
      <c r="E549" s="170"/>
      <c r="F549" s="170"/>
      <c r="G549" s="170"/>
    </row>
    <row r="550">
      <c r="A550" s="170"/>
      <c r="B550" s="170"/>
      <c r="C550" s="170"/>
      <c r="D550" s="170"/>
      <c r="E550" s="170"/>
      <c r="F550" s="170"/>
      <c r="G550" s="170"/>
    </row>
    <row r="551">
      <c r="A551" s="170"/>
      <c r="B551" s="170"/>
      <c r="C551" s="170"/>
      <c r="D551" s="170"/>
      <c r="E551" s="170"/>
      <c r="F551" s="170"/>
      <c r="G551" s="170"/>
    </row>
    <row r="552">
      <c r="A552" s="170"/>
      <c r="B552" s="170"/>
      <c r="C552" s="170"/>
      <c r="D552" s="170"/>
      <c r="E552" s="170"/>
      <c r="F552" s="170"/>
      <c r="G552" s="170"/>
    </row>
    <row r="553">
      <c r="A553" s="170"/>
      <c r="B553" s="170"/>
      <c r="C553" s="170"/>
      <c r="D553" s="170"/>
      <c r="E553" s="170"/>
      <c r="F553" s="170"/>
      <c r="G553" s="170"/>
    </row>
    <row r="554">
      <c r="A554" s="170"/>
      <c r="B554" s="170"/>
      <c r="C554" s="170"/>
      <c r="D554" s="170"/>
      <c r="E554" s="170"/>
      <c r="F554" s="170"/>
      <c r="G554" s="170"/>
    </row>
    <row r="555">
      <c r="A555" s="170"/>
      <c r="B555" s="170"/>
      <c r="C555" s="170"/>
      <c r="D555" s="170"/>
      <c r="E555" s="170"/>
      <c r="F555" s="170"/>
      <c r="G555" s="170"/>
    </row>
    <row r="556">
      <c r="A556" s="170"/>
      <c r="B556" s="170"/>
      <c r="C556" s="170"/>
      <c r="D556" s="170"/>
      <c r="E556" s="170"/>
      <c r="F556" s="170"/>
      <c r="G556" s="170"/>
    </row>
    <row r="557">
      <c r="A557" s="170"/>
      <c r="B557" s="170"/>
      <c r="C557" s="170"/>
      <c r="D557" s="170"/>
      <c r="E557" s="170"/>
      <c r="F557" s="170"/>
      <c r="G557" s="170"/>
    </row>
    <row r="558">
      <c r="A558" s="170"/>
      <c r="B558" s="170"/>
      <c r="C558" s="170"/>
      <c r="D558" s="170"/>
      <c r="E558" s="170"/>
      <c r="F558" s="170"/>
      <c r="G558" s="170"/>
    </row>
    <row r="559">
      <c r="A559" s="170"/>
      <c r="B559" s="170"/>
      <c r="C559" s="170"/>
      <c r="D559" s="170"/>
      <c r="E559" s="170"/>
      <c r="F559" s="170"/>
      <c r="G559" s="170"/>
    </row>
    <row r="560">
      <c r="A560" s="170"/>
      <c r="B560" s="170"/>
      <c r="C560" s="170"/>
      <c r="D560" s="170"/>
      <c r="E560" s="170"/>
      <c r="F560" s="170"/>
      <c r="G560" s="170"/>
    </row>
    <row r="561">
      <c r="A561" s="170"/>
      <c r="B561" s="170"/>
      <c r="C561" s="170"/>
      <c r="D561" s="170"/>
      <c r="E561" s="170"/>
      <c r="F561" s="170"/>
      <c r="G561" s="170"/>
    </row>
    <row r="562">
      <c r="A562" s="170"/>
      <c r="B562" s="170"/>
      <c r="C562" s="170"/>
      <c r="D562" s="170"/>
      <c r="E562" s="170"/>
      <c r="F562" s="170"/>
      <c r="G562" s="170"/>
    </row>
    <row r="563">
      <c r="A563" s="170"/>
      <c r="B563" s="170"/>
      <c r="C563" s="170"/>
      <c r="D563" s="170"/>
      <c r="E563" s="170"/>
      <c r="F563" s="170"/>
      <c r="G563" s="170"/>
    </row>
    <row r="564">
      <c r="A564" s="170"/>
      <c r="B564" s="170"/>
      <c r="C564" s="170"/>
      <c r="D564" s="170"/>
      <c r="E564" s="170"/>
      <c r="F564" s="170"/>
      <c r="G564" s="170"/>
    </row>
    <row r="565">
      <c r="A565" s="170"/>
      <c r="B565" s="170"/>
      <c r="C565" s="170"/>
      <c r="D565" s="170"/>
      <c r="E565" s="170"/>
      <c r="F565" s="170"/>
      <c r="G565" s="170"/>
    </row>
    <row r="566">
      <c r="A566" s="170"/>
      <c r="B566" s="170"/>
      <c r="C566" s="170"/>
      <c r="D566" s="170"/>
      <c r="E566" s="170"/>
      <c r="F566" s="170"/>
      <c r="G566" s="170"/>
    </row>
    <row r="567">
      <c r="A567" s="170"/>
      <c r="B567" s="170"/>
      <c r="C567" s="170"/>
      <c r="D567" s="170"/>
      <c r="E567" s="170"/>
      <c r="F567" s="170"/>
      <c r="G567" s="170"/>
    </row>
    <row r="568">
      <c r="A568" s="170"/>
      <c r="B568" s="170"/>
      <c r="C568" s="170"/>
      <c r="D568" s="170"/>
      <c r="E568" s="170"/>
      <c r="F568" s="170"/>
      <c r="G568" s="170"/>
    </row>
    <row r="569">
      <c r="A569" s="170"/>
      <c r="B569" s="170"/>
      <c r="C569" s="170"/>
      <c r="D569" s="170"/>
      <c r="E569" s="170"/>
      <c r="F569" s="170"/>
      <c r="G569" s="170"/>
    </row>
    <row r="570">
      <c r="A570" s="170"/>
      <c r="B570" s="170"/>
      <c r="C570" s="170"/>
      <c r="D570" s="170"/>
      <c r="E570" s="170"/>
      <c r="F570" s="170"/>
      <c r="G570" s="170"/>
    </row>
    <row r="571">
      <c r="A571" s="170"/>
      <c r="B571" s="170"/>
      <c r="C571" s="170"/>
      <c r="D571" s="170"/>
      <c r="E571" s="170"/>
      <c r="F571" s="170"/>
      <c r="G571" s="170"/>
    </row>
    <row r="572">
      <c r="A572" s="170"/>
      <c r="B572" s="170"/>
      <c r="C572" s="170"/>
      <c r="D572" s="170"/>
      <c r="E572" s="170"/>
      <c r="F572" s="170"/>
      <c r="G572" s="170"/>
    </row>
    <row r="573">
      <c r="A573" s="170"/>
      <c r="B573" s="170"/>
      <c r="C573" s="170"/>
      <c r="D573" s="170"/>
      <c r="E573" s="170"/>
      <c r="F573" s="170"/>
      <c r="G573" s="170"/>
    </row>
    <row r="574">
      <c r="A574" s="170"/>
      <c r="B574" s="170"/>
      <c r="C574" s="170"/>
      <c r="D574" s="170"/>
      <c r="E574" s="170"/>
      <c r="F574" s="170"/>
      <c r="G574" s="170"/>
    </row>
    <row r="575">
      <c r="A575" s="170"/>
      <c r="B575" s="170"/>
      <c r="C575" s="170"/>
      <c r="D575" s="170"/>
      <c r="E575" s="170"/>
      <c r="F575" s="170"/>
      <c r="G575" s="170"/>
    </row>
    <row r="576">
      <c r="A576" s="170"/>
      <c r="B576" s="170"/>
      <c r="C576" s="170"/>
      <c r="D576" s="170"/>
      <c r="E576" s="170"/>
      <c r="F576" s="170"/>
      <c r="G576" s="170"/>
    </row>
    <row r="577">
      <c r="A577" s="170"/>
      <c r="B577" s="170"/>
      <c r="C577" s="170"/>
      <c r="D577" s="170"/>
      <c r="E577" s="170"/>
      <c r="F577" s="170"/>
      <c r="G577" s="170"/>
    </row>
    <row r="578">
      <c r="A578" s="170"/>
      <c r="B578" s="170"/>
      <c r="C578" s="170"/>
      <c r="D578" s="170"/>
      <c r="E578" s="170"/>
      <c r="F578" s="170"/>
      <c r="G578" s="170"/>
    </row>
    <row r="579">
      <c r="A579" s="170"/>
      <c r="B579" s="170"/>
      <c r="C579" s="170"/>
      <c r="D579" s="170"/>
      <c r="E579" s="170"/>
      <c r="F579" s="170"/>
      <c r="G579" s="170"/>
    </row>
    <row r="580">
      <c r="A580" s="170"/>
      <c r="B580" s="170"/>
      <c r="C580" s="170"/>
      <c r="D580" s="170"/>
      <c r="E580" s="170"/>
      <c r="F580" s="170"/>
      <c r="G580" s="170"/>
    </row>
    <row r="581">
      <c r="A581" s="170"/>
      <c r="B581" s="170"/>
      <c r="C581" s="170"/>
      <c r="D581" s="170"/>
      <c r="E581" s="170"/>
      <c r="F581" s="170"/>
      <c r="G581" s="170"/>
    </row>
    <row r="582">
      <c r="A582" s="170"/>
      <c r="B582" s="170"/>
      <c r="C582" s="170"/>
      <c r="D582" s="170"/>
      <c r="E582" s="170"/>
      <c r="F582" s="170"/>
      <c r="G582" s="170"/>
    </row>
    <row r="583">
      <c r="A583" s="170"/>
      <c r="B583" s="170"/>
      <c r="C583" s="170"/>
      <c r="D583" s="170"/>
      <c r="E583" s="170"/>
      <c r="F583" s="170"/>
      <c r="G583" s="170"/>
    </row>
    <row r="584">
      <c r="A584" s="170"/>
      <c r="B584" s="170"/>
      <c r="C584" s="170"/>
      <c r="D584" s="170"/>
      <c r="E584" s="170"/>
      <c r="F584" s="170"/>
      <c r="G584" s="170"/>
    </row>
    <row r="585">
      <c r="A585" s="170"/>
      <c r="B585" s="170"/>
      <c r="C585" s="170"/>
      <c r="D585" s="170"/>
      <c r="E585" s="170"/>
      <c r="F585" s="170"/>
      <c r="G585" s="170"/>
    </row>
    <row r="586">
      <c r="A586" s="170"/>
      <c r="B586" s="170"/>
      <c r="C586" s="170"/>
      <c r="D586" s="170"/>
      <c r="E586" s="170"/>
      <c r="F586" s="170"/>
      <c r="G586" s="170"/>
    </row>
    <row r="587">
      <c r="A587" s="170"/>
      <c r="B587" s="170"/>
      <c r="C587" s="170"/>
      <c r="D587" s="170"/>
      <c r="E587" s="170"/>
      <c r="F587" s="170"/>
      <c r="G587" s="170"/>
    </row>
    <row r="588">
      <c r="A588" s="170"/>
      <c r="B588" s="170"/>
      <c r="C588" s="170"/>
      <c r="D588" s="170"/>
      <c r="E588" s="170"/>
      <c r="F588" s="170"/>
      <c r="G588" s="170"/>
    </row>
    <row r="589">
      <c r="A589" s="170"/>
      <c r="B589" s="170"/>
      <c r="C589" s="170"/>
      <c r="D589" s="170"/>
      <c r="E589" s="170"/>
      <c r="F589" s="170"/>
      <c r="G589" s="170"/>
    </row>
    <row r="590">
      <c r="A590" s="170"/>
      <c r="B590" s="170"/>
      <c r="C590" s="170"/>
      <c r="D590" s="170"/>
      <c r="E590" s="170"/>
      <c r="F590" s="170"/>
      <c r="G590" s="170"/>
    </row>
    <row r="591">
      <c r="A591" s="170"/>
      <c r="B591" s="170"/>
      <c r="C591" s="170"/>
      <c r="D591" s="170"/>
      <c r="E591" s="170"/>
      <c r="F591" s="170"/>
      <c r="G591" s="170"/>
    </row>
    <row r="592">
      <c r="A592" s="170"/>
      <c r="B592" s="170"/>
      <c r="C592" s="170"/>
      <c r="D592" s="170"/>
      <c r="E592" s="170"/>
      <c r="F592" s="170"/>
      <c r="G592" s="170"/>
    </row>
    <row r="593">
      <c r="A593" s="170"/>
      <c r="B593" s="170"/>
      <c r="C593" s="170"/>
      <c r="D593" s="170"/>
      <c r="E593" s="170"/>
      <c r="F593" s="170"/>
      <c r="G593" s="170"/>
    </row>
    <row r="594">
      <c r="A594" s="170"/>
      <c r="B594" s="170"/>
      <c r="C594" s="170"/>
      <c r="D594" s="170"/>
      <c r="E594" s="170"/>
      <c r="F594" s="170"/>
      <c r="G594" s="170"/>
    </row>
    <row r="595">
      <c r="A595" s="170"/>
      <c r="B595" s="170"/>
      <c r="C595" s="170"/>
      <c r="D595" s="170"/>
      <c r="E595" s="170"/>
      <c r="F595" s="170"/>
      <c r="G595" s="170"/>
    </row>
    <row r="596">
      <c r="A596" s="170"/>
      <c r="B596" s="170"/>
      <c r="C596" s="170"/>
      <c r="D596" s="170"/>
      <c r="E596" s="170"/>
      <c r="F596" s="170"/>
      <c r="G596" s="170"/>
    </row>
    <row r="597">
      <c r="A597" s="170"/>
      <c r="B597" s="170"/>
      <c r="C597" s="170"/>
      <c r="D597" s="170"/>
      <c r="E597" s="170"/>
      <c r="F597" s="170"/>
      <c r="G597" s="170"/>
    </row>
    <row r="598">
      <c r="A598" s="170"/>
      <c r="B598" s="170"/>
      <c r="C598" s="170"/>
      <c r="D598" s="170"/>
      <c r="E598" s="170"/>
      <c r="F598" s="170"/>
      <c r="G598" s="170"/>
    </row>
    <row r="599">
      <c r="A599" s="170"/>
      <c r="B599" s="170"/>
      <c r="C599" s="170"/>
      <c r="D599" s="170"/>
      <c r="E599" s="170"/>
      <c r="F599" s="170"/>
      <c r="G599" s="170"/>
    </row>
    <row r="600">
      <c r="A600" s="170"/>
      <c r="B600" s="170"/>
      <c r="C600" s="170"/>
      <c r="D600" s="170"/>
      <c r="E600" s="170"/>
      <c r="F600" s="170"/>
      <c r="G600" s="170"/>
    </row>
    <row r="601">
      <c r="A601" s="170"/>
      <c r="B601" s="170"/>
      <c r="C601" s="170"/>
      <c r="D601" s="170"/>
      <c r="E601" s="170"/>
      <c r="F601" s="170"/>
      <c r="G601" s="170"/>
    </row>
    <row r="602">
      <c r="A602" s="170"/>
      <c r="B602" s="170"/>
      <c r="C602" s="170"/>
      <c r="D602" s="170"/>
      <c r="E602" s="170"/>
      <c r="F602" s="170"/>
      <c r="G602" s="170"/>
    </row>
    <row r="603">
      <c r="A603" s="170"/>
      <c r="B603" s="170"/>
      <c r="C603" s="170"/>
      <c r="D603" s="170"/>
      <c r="E603" s="170"/>
      <c r="F603" s="170"/>
      <c r="G603" s="170"/>
    </row>
    <row r="604">
      <c r="A604" s="170"/>
      <c r="B604" s="170"/>
      <c r="C604" s="170"/>
      <c r="D604" s="170"/>
      <c r="E604" s="170"/>
      <c r="F604" s="170"/>
      <c r="G604" s="170"/>
    </row>
    <row r="605">
      <c r="A605" s="170"/>
      <c r="B605" s="170"/>
      <c r="C605" s="170"/>
      <c r="D605" s="170"/>
      <c r="E605" s="170"/>
      <c r="F605" s="170"/>
      <c r="G605" s="170"/>
    </row>
    <row r="606">
      <c r="A606" s="170"/>
      <c r="B606" s="170"/>
      <c r="C606" s="170"/>
      <c r="D606" s="170"/>
      <c r="E606" s="170"/>
      <c r="F606" s="170"/>
      <c r="G606" s="170"/>
    </row>
    <row r="607">
      <c r="A607" s="170"/>
      <c r="B607" s="170"/>
      <c r="C607" s="170"/>
      <c r="D607" s="170"/>
      <c r="E607" s="170"/>
      <c r="F607" s="170"/>
      <c r="G607" s="170"/>
    </row>
    <row r="608">
      <c r="A608" s="170"/>
      <c r="B608" s="170"/>
      <c r="C608" s="170"/>
      <c r="D608" s="170"/>
      <c r="E608" s="170"/>
      <c r="F608" s="170"/>
      <c r="G608" s="170"/>
    </row>
    <row r="609">
      <c r="A609" s="170"/>
      <c r="B609" s="170"/>
      <c r="C609" s="170"/>
      <c r="D609" s="170"/>
      <c r="E609" s="170"/>
      <c r="F609" s="170"/>
      <c r="G609" s="170"/>
    </row>
    <row r="610">
      <c r="A610" s="170"/>
      <c r="B610" s="170"/>
      <c r="C610" s="170"/>
      <c r="D610" s="170"/>
      <c r="E610" s="170"/>
      <c r="F610" s="170"/>
      <c r="G610" s="170"/>
    </row>
    <row r="611">
      <c r="A611" s="170"/>
      <c r="B611" s="170"/>
      <c r="C611" s="170"/>
      <c r="D611" s="170"/>
      <c r="E611" s="170"/>
      <c r="F611" s="170"/>
      <c r="G611" s="170"/>
    </row>
    <row r="612">
      <c r="A612" s="170"/>
      <c r="B612" s="170"/>
      <c r="C612" s="170"/>
      <c r="D612" s="170"/>
      <c r="E612" s="170"/>
      <c r="F612" s="170"/>
      <c r="G612" s="170"/>
    </row>
    <row r="613">
      <c r="A613" s="170"/>
      <c r="B613" s="170"/>
      <c r="C613" s="170"/>
      <c r="D613" s="170"/>
      <c r="E613" s="170"/>
      <c r="F613" s="170"/>
      <c r="G613" s="170"/>
    </row>
    <row r="614">
      <c r="A614" s="170"/>
      <c r="B614" s="170"/>
      <c r="C614" s="170"/>
      <c r="D614" s="170"/>
      <c r="E614" s="170"/>
      <c r="F614" s="170"/>
      <c r="G614" s="170"/>
    </row>
    <row r="615">
      <c r="A615" s="170"/>
      <c r="B615" s="170"/>
      <c r="C615" s="170"/>
      <c r="D615" s="170"/>
      <c r="E615" s="170"/>
      <c r="F615" s="170"/>
      <c r="G615" s="170"/>
    </row>
    <row r="616">
      <c r="A616" s="170"/>
      <c r="B616" s="170"/>
      <c r="C616" s="170"/>
      <c r="D616" s="170"/>
      <c r="E616" s="170"/>
      <c r="F616" s="170"/>
      <c r="G616" s="170"/>
    </row>
    <row r="617">
      <c r="A617" s="170"/>
      <c r="B617" s="170"/>
      <c r="C617" s="170"/>
      <c r="D617" s="170"/>
      <c r="E617" s="170"/>
      <c r="F617" s="170"/>
      <c r="G617" s="170"/>
    </row>
    <row r="618">
      <c r="A618" s="170"/>
      <c r="B618" s="170"/>
      <c r="C618" s="170"/>
      <c r="D618" s="170"/>
      <c r="E618" s="170"/>
      <c r="F618" s="170"/>
      <c r="G618" s="170"/>
    </row>
    <row r="619">
      <c r="A619" s="170"/>
      <c r="B619" s="170"/>
      <c r="C619" s="170"/>
      <c r="D619" s="170"/>
      <c r="E619" s="170"/>
      <c r="F619" s="170"/>
      <c r="G619" s="170"/>
    </row>
    <row r="620">
      <c r="A620" s="170"/>
      <c r="B620" s="170"/>
      <c r="C620" s="170"/>
      <c r="D620" s="170"/>
      <c r="E620" s="170"/>
      <c r="F620" s="170"/>
      <c r="G620" s="170"/>
    </row>
    <row r="621">
      <c r="A621" s="170"/>
      <c r="B621" s="170"/>
      <c r="C621" s="170"/>
      <c r="D621" s="170"/>
      <c r="E621" s="170"/>
      <c r="F621" s="170"/>
      <c r="G621" s="170"/>
    </row>
    <row r="622">
      <c r="A622" s="170"/>
      <c r="B622" s="170"/>
      <c r="C622" s="170"/>
      <c r="D622" s="170"/>
      <c r="E622" s="170"/>
      <c r="F622" s="170"/>
      <c r="G622" s="170"/>
    </row>
    <row r="623">
      <c r="A623" s="170"/>
      <c r="B623" s="170"/>
      <c r="C623" s="170"/>
      <c r="D623" s="170"/>
      <c r="E623" s="170"/>
      <c r="F623" s="170"/>
      <c r="G623" s="170"/>
    </row>
    <row r="624">
      <c r="A624" s="170"/>
      <c r="B624" s="170"/>
      <c r="C624" s="170"/>
      <c r="D624" s="170"/>
      <c r="E624" s="170"/>
      <c r="F624" s="170"/>
      <c r="G624" s="170"/>
    </row>
    <row r="625">
      <c r="A625" s="170"/>
      <c r="B625" s="170"/>
      <c r="C625" s="170"/>
      <c r="D625" s="170"/>
      <c r="E625" s="170"/>
      <c r="F625" s="170"/>
      <c r="G625" s="170"/>
    </row>
    <row r="626">
      <c r="A626" s="170"/>
      <c r="B626" s="170"/>
      <c r="C626" s="170"/>
      <c r="D626" s="170"/>
      <c r="E626" s="170"/>
      <c r="F626" s="170"/>
      <c r="G626" s="170"/>
    </row>
    <row r="627">
      <c r="A627" s="170"/>
      <c r="B627" s="170"/>
      <c r="C627" s="170"/>
      <c r="D627" s="170"/>
      <c r="E627" s="170"/>
      <c r="F627" s="170"/>
      <c r="G627" s="170"/>
    </row>
    <row r="628">
      <c r="A628" s="170"/>
      <c r="B628" s="170"/>
      <c r="C628" s="170"/>
      <c r="D628" s="170"/>
      <c r="E628" s="170"/>
      <c r="F628" s="170"/>
      <c r="G628" s="170"/>
    </row>
    <row r="629">
      <c r="A629" s="170"/>
      <c r="B629" s="170"/>
      <c r="C629" s="170"/>
      <c r="D629" s="170"/>
      <c r="E629" s="170"/>
      <c r="F629" s="170"/>
      <c r="G629" s="170"/>
    </row>
    <row r="630">
      <c r="A630" s="170"/>
      <c r="B630" s="170"/>
      <c r="C630" s="170"/>
      <c r="D630" s="170"/>
      <c r="E630" s="170"/>
      <c r="F630" s="170"/>
      <c r="G630" s="170"/>
    </row>
    <row r="631">
      <c r="A631" s="170"/>
      <c r="B631" s="170"/>
      <c r="C631" s="170"/>
      <c r="D631" s="170"/>
      <c r="E631" s="170"/>
      <c r="F631" s="170"/>
      <c r="G631" s="170"/>
    </row>
    <row r="632">
      <c r="A632" s="170"/>
      <c r="B632" s="170"/>
      <c r="C632" s="170"/>
      <c r="D632" s="170"/>
      <c r="E632" s="170"/>
      <c r="F632" s="170"/>
      <c r="G632" s="170"/>
    </row>
    <row r="633">
      <c r="A633" s="170"/>
      <c r="B633" s="170"/>
      <c r="C633" s="170"/>
      <c r="D633" s="170"/>
      <c r="E633" s="170"/>
      <c r="F633" s="170"/>
      <c r="G633" s="170"/>
    </row>
    <row r="634">
      <c r="A634" s="170"/>
      <c r="B634" s="170"/>
      <c r="C634" s="170"/>
      <c r="D634" s="170"/>
      <c r="E634" s="170"/>
      <c r="F634" s="170"/>
      <c r="G634" s="170"/>
    </row>
    <row r="635">
      <c r="A635" s="170"/>
      <c r="B635" s="170"/>
      <c r="C635" s="170"/>
      <c r="D635" s="170"/>
      <c r="E635" s="170"/>
      <c r="F635" s="170"/>
      <c r="G635" s="170"/>
    </row>
    <row r="636">
      <c r="A636" s="170"/>
      <c r="B636" s="170"/>
      <c r="C636" s="170"/>
      <c r="D636" s="170"/>
      <c r="E636" s="170"/>
      <c r="F636" s="170"/>
      <c r="G636" s="170"/>
    </row>
    <row r="637">
      <c r="A637" s="170"/>
      <c r="B637" s="170"/>
      <c r="C637" s="170"/>
      <c r="D637" s="170"/>
      <c r="E637" s="170"/>
      <c r="F637" s="170"/>
      <c r="G637" s="170"/>
    </row>
    <row r="638">
      <c r="A638" s="170"/>
      <c r="B638" s="170"/>
      <c r="C638" s="170"/>
      <c r="D638" s="170"/>
      <c r="E638" s="170"/>
      <c r="F638" s="170"/>
      <c r="G638" s="170"/>
    </row>
    <row r="639">
      <c r="A639" s="170"/>
      <c r="B639" s="170"/>
      <c r="C639" s="170"/>
      <c r="D639" s="170"/>
      <c r="E639" s="170"/>
      <c r="F639" s="170"/>
      <c r="G639" s="170"/>
    </row>
    <row r="640">
      <c r="A640" s="170"/>
      <c r="B640" s="170"/>
      <c r="C640" s="170"/>
      <c r="D640" s="170"/>
      <c r="E640" s="170"/>
      <c r="F640" s="170"/>
      <c r="G640" s="170"/>
    </row>
    <row r="641">
      <c r="A641" s="170"/>
      <c r="B641" s="170"/>
      <c r="C641" s="170"/>
      <c r="D641" s="170"/>
      <c r="E641" s="170"/>
      <c r="F641" s="170"/>
      <c r="G641" s="170"/>
    </row>
    <row r="642">
      <c r="A642" s="170"/>
      <c r="B642" s="170"/>
      <c r="C642" s="170"/>
      <c r="D642" s="170"/>
      <c r="E642" s="170"/>
      <c r="F642" s="170"/>
      <c r="G642" s="170"/>
    </row>
    <row r="643">
      <c r="A643" s="170"/>
      <c r="B643" s="170"/>
      <c r="C643" s="170"/>
      <c r="D643" s="170"/>
      <c r="E643" s="170"/>
      <c r="F643" s="170"/>
      <c r="G643" s="170"/>
    </row>
    <row r="644">
      <c r="A644" s="170"/>
      <c r="B644" s="170"/>
      <c r="C644" s="170"/>
      <c r="D644" s="170"/>
      <c r="E644" s="170"/>
      <c r="F644" s="170"/>
      <c r="G644" s="170"/>
    </row>
    <row r="645">
      <c r="A645" s="170"/>
      <c r="B645" s="170"/>
      <c r="C645" s="170"/>
      <c r="D645" s="170"/>
      <c r="E645" s="170"/>
      <c r="F645" s="170"/>
      <c r="G645" s="170"/>
    </row>
    <row r="646">
      <c r="A646" s="170"/>
      <c r="B646" s="170"/>
      <c r="C646" s="170"/>
      <c r="D646" s="170"/>
      <c r="E646" s="170"/>
      <c r="F646" s="170"/>
      <c r="G646" s="170"/>
    </row>
    <row r="647">
      <c r="A647" s="170"/>
      <c r="B647" s="170"/>
      <c r="C647" s="170"/>
      <c r="D647" s="170"/>
      <c r="E647" s="170"/>
      <c r="F647" s="170"/>
      <c r="G647" s="170"/>
    </row>
    <row r="648">
      <c r="A648" s="170"/>
      <c r="B648" s="170"/>
      <c r="C648" s="170"/>
      <c r="D648" s="170"/>
      <c r="E648" s="170"/>
      <c r="F648" s="170"/>
      <c r="G648" s="170"/>
    </row>
    <row r="649">
      <c r="A649" s="170"/>
      <c r="B649" s="170"/>
      <c r="C649" s="170"/>
      <c r="D649" s="170"/>
      <c r="E649" s="170"/>
      <c r="F649" s="170"/>
      <c r="G649" s="170"/>
    </row>
    <row r="650">
      <c r="A650" s="170"/>
      <c r="B650" s="170"/>
      <c r="C650" s="170"/>
      <c r="D650" s="170"/>
      <c r="E650" s="170"/>
      <c r="F650" s="170"/>
      <c r="G650" s="170"/>
    </row>
    <row r="651">
      <c r="A651" s="170"/>
      <c r="B651" s="170"/>
      <c r="C651" s="170"/>
      <c r="D651" s="170"/>
      <c r="E651" s="170"/>
      <c r="F651" s="170"/>
      <c r="G651" s="170"/>
    </row>
    <row r="652">
      <c r="A652" s="170"/>
      <c r="B652" s="170"/>
      <c r="C652" s="170"/>
      <c r="D652" s="170"/>
      <c r="E652" s="170"/>
      <c r="F652" s="170"/>
      <c r="G652" s="170"/>
    </row>
    <row r="653">
      <c r="A653" s="170"/>
      <c r="B653" s="170"/>
      <c r="C653" s="170"/>
      <c r="D653" s="170"/>
      <c r="E653" s="170"/>
      <c r="F653" s="170"/>
      <c r="G653" s="170"/>
    </row>
    <row r="654">
      <c r="A654" s="170"/>
      <c r="B654" s="170"/>
      <c r="C654" s="170"/>
      <c r="D654" s="170"/>
      <c r="E654" s="170"/>
      <c r="F654" s="170"/>
      <c r="G654" s="170"/>
    </row>
    <row r="655">
      <c r="A655" s="170"/>
      <c r="B655" s="170"/>
      <c r="C655" s="170"/>
      <c r="D655" s="170"/>
      <c r="E655" s="170"/>
      <c r="F655" s="170"/>
      <c r="G655" s="170"/>
    </row>
    <row r="656">
      <c r="A656" s="170"/>
      <c r="B656" s="170"/>
      <c r="C656" s="170"/>
      <c r="D656" s="170"/>
      <c r="E656" s="170"/>
      <c r="F656" s="170"/>
      <c r="G656" s="170"/>
    </row>
    <row r="657">
      <c r="A657" s="170"/>
      <c r="B657" s="170"/>
      <c r="C657" s="170"/>
      <c r="D657" s="170"/>
      <c r="E657" s="170"/>
      <c r="F657" s="170"/>
      <c r="G657" s="170"/>
    </row>
    <row r="658">
      <c r="A658" s="170"/>
      <c r="B658" s="170"/>
      <c r="C658" s="170"/>
      <c r="D658" s="170"/>
      <c r="E658" s="170"/>
      <c r="F658" s="170"/>
      <c r="G658" s="170"/>
    </row>
    <row r="659">
      <c r="A659" s="170"/>
      <c r="B659" s="170"/>
      <c r="C659" s="170"/>
      <c r="D659" s="170"/>
      <c r="E659" s="170"/>
      <c r="F659" s="170"/>
      <c r="G659" s="170"/>
    </row>
    <row r="660">
      <c r="A660" s="170"/>
      <c r="B660" s="170"/>
      <c r="C660" s="170"/>
      <c r="D660" s="170"/>
      <c r="E660" s="170"/>
      <c r="F660" s="170"/>
      <c r="G660" s="170"/>
    </row>
    <row r="661">
      <c r="A661" s="170"/>
      <c r="B661" s="170"/>
      <c r="C661" s="170"/>
      <c r="D661" s="170"/>
      <c r="E661" s="170"/>
      <c r="F661" s="170"/>
      <c r="G661" s="170"/>
    </row>
    <row r="662">
      <c r="A662" s="170"/>
      <c r="B662" s="170"/>
      <c r="C662" s="170"/>
      <c r="D662" s="170"/>
      <c r="E662" s="170"/>
      <c r="F662" s="170"/>
      <c r="G662" s="170"/>
    </row>
    <row r="663">
      <c r="A663" s="170"/>
      <c r="B663" s="170"/>
      <c r="C663" s="170"/>
      <c r="D663" s="170"/>
      <c r="E663" s="170"/>
      <c r="F663" s="170"/>
      <c r="G663" s="170"/>
    </row>
    <row r="664">
      <c r="A664" s="170"/>
      <c r="B664" s="170"/>
      <c r="C664" s="170"/>
      <c r="D664" s="170"/>
      <c r="E664" s="170"/>
      <c r="F664" s="170"/>
      <c r="G664" s="170"/>
    </row>
    <row r="665">
      <c r="A665" s="170"/>
      <c r="B665" s="170"/>
      <c r="C665" s="170"/>
      <c r="D665" s="170"/>
      <c r="E665" s="170"/>
      <c r="F665" s="170"/>
      <c r="G665" s="170"/>
    </row>
    <row r="666">
      <c r="A666" s="170"/>
      <c r="B666" s="170"/>
      <c r="C666" s="170"/>
      <c r="D666" s="170"/>
      <c r="E666" s="170"/>
      <c r="F666" s="170"/>
      <c r="G666" s="170"/>
    </row>
    <row r="667">
      <c r="A667" s="170"/>
      <c r="B667" s="170"/>
      <c r="C667" s="170"/>
      <c r="D667" s="170"/>
      <c r="E667" s="170"/>
      <c r="F667" s="170"/>
      <c r="G667" s="170"/>
    </row>
    <row r="668">
      <c r="A668" s="170"/>
      <c r="B668" s="170"/>
      <c r="C668" s="170"/>
      <c r="D668" s="170"/>
      <c r="E668" s="170"/>
      <c r="F668" s="170"/>
      <c r="G668" s="170"/>
    </row>
    <row r="669">
      <c r="A669" s="170"/>
      <c r="B669" s="170"/>
      <c r="C669" s="170"/>
      <c r="D669" s="170"/>
      <c r="E669" s="170"/>
      <c r="F669" s="170"/>
      <c r="G669" s="170"/>
    </row>
    <row r="670">
      <c r="A670" s="170"/>
      <c r="B670" s="170"/>
      <c r="C670" s="170"/>
      <c r="D670" s="170"/>
      <c r="E670" s="170"/>
      <c r="F670" s="170"/>
      <c r="G670" s="170"/>
    </row>
    <row r="671">
      <c r="A671" s="170"/>
      <c r="B671" s="170"/>
      <c r="C671" s="170"/>
      <c r="D671" s="170"/>
      <c r="E671" s="170"/>
      <c r="F671" s="170"/>
      <c r="G671" s="170"/>
    </row>
    <row r="672">
      <c r="A672" s="170"/>
      <c r="B672" s="170"/>
      <c r="C672" s="170"/>
      <c r="D672" s="170"/>
      <c r="E672" s="170"/>
      <c r="F672" s="170"/>
      <c r="G672" s="170"/>
    </row>
    <row r="673">
      <c r="A673" s="170"/>
      <c r="B673" s="170"/>
      <c r="C673" s="170"/>
      <c r="D673" s="170"/>
      <c r="E673" s="170"/>
      <c r="F673" s="170"/>
      <c r="G673" s="170"/>
    </row>
    <row r="674">
      <c r="A674" s="170"/>
      <c r="B674" s="170"/>
      <c r="C674" s="170"/>
      <c r="D674" s="170"/>
      <c r="E674" s="170"/>
      <c r="F674" s="170"/>
      <c r="G674" s="170"/>
    </row>
    <row r="675">
      <c r="A675" s="170"/>
      <c r="B675" s="170"/>
      <c r="C675" s="170"/>
      <c r="D675" s="170"/>
      <c r="E675" s="170"/>
      <c r="F675" s="170"/>
      <c r="G675" s="170"/>
    </row>
    <row r="676">
      <c r="A676" s="170"/>
      <c r="B676" s="170"/>
      <c r="C676" s="170"/>
      <c r="D676" s="170"/>
      <c r="E676" s="170"/>
      <c r="F676" s="170"/>
      <c r="G676" s="170"/>
    </row>
    <row r="677">
      <c r="A677" s="170"/>
      <c r="B677" s="170"/>
      <c r="C677" s="170"/>
      <c r="D677" s="170"/>
      <c r="E677" s="170"/>
      <c r="F677" s="170"/>
      <c r="G677" s="170"/>
    </row>
    <row r="678">
      <c r="A678" s="170"/>
      <c r="B678" s="170"/>
      <c r="C678" s="170"/>
      <c r="D678" s="170"/>
      <c r="E678" s="170"/>
      <c r="F678" s="170"/>
      <c r="G678" s="170"/>
    </row>
    <row r="679">
      <c r="A679" s="170"/>
      <c r="B679" s="170"/>
      <c r="C679" s="170"/>
      <c r="D679" s="170"/>
      <c r="E679" s="170"/>
      <c r="F679" s="170"/>
      <c r="G679" s="170"/>
    </row>
    <row r="680">
      <c r="A680" s="170"/>
      <c r="B680" s="170"/>
      <c r="C680" s="170"/>
      <c r="D680" s="170"/>
      <c r="E680" s="170"/>
      <c r="F680" s="170"/>
      <c r="G680" s="170"/>
    </row>
    <row r="681">
      <c r="A681" s="170"/>
      <c r="B681" s="170"/>
      <c r="C681" s="170"/>
      <c r="D681" s="170"/>
      <c r="E681" s="170"/>
      <c r="F681" s="170"/>
      <c r="G681" s="170"/>
    </row>
    <row r="682">
      <c r="A682" s="170"/>
      <c r="B682" s="170"/>
      <c r="C682" s="170"/>
      <c r="D682" s="170"/>
      <c r="E682" s="170"/>
      <c r="F682" s="170"/>
      <c r="G682" s="170"/>
    </row>
    <row r="683">
      <c r="A683" s="170"/>
      <c r="B683" s="170"/>
      <c r="C683" s="170"/>
      <c r="D683" s="170"/>
      <c r="E683" s="170"/>
      <c r="F683" s="170"/>
      <c r="G683" s="170"/>
    </row>
    <row r="684">
      <c r="A684" s="170"/>
      <c r="B684" s="170"/>
      <c r="C684" s="170"/>
      <c r="D684" s="170"/>
      <c r="E684" s="170"/>
      <c r="F684" s="170"/>
      <c r="G684" s="170"/>
    </row>
    <row r="685">
      <c r="A685" s="170"/>
      <c r="B685" s="170"/>
      <c r="C685" s="170"/>
      <c r="D685" s="170"/>
      <c r="E685" s="170"/>
      <c r="F685" s="170"/>
      <c r="G685" s="170"/>
    </row>
    <row r="686">
      <c r="A686" s="170"/>
      <c r="B686" s="170"/>
      <c r="C686" s="170"/>
      <c r="D686" s="170"/>
      <c r="E686" s="170"/>
      <c r="F686" s="170"/>
      <c r="G686" s="170"/>
    </row>
    <row r="687">
      <c r="A687" s="170"/>
      <c r="B687" s="170"/>
      <c r="C687" s="170"/>
      <c r="D687" s="170"/>
      <c r="E687" s="170"/>
      <c r="F687" s="170"/>
      <c r="G687" s="170"/>
    </row>
    <row r="688">
      <c r="A688" s="170"/>
      <c r="B688" s="170"/>
      <c r="C688" s="170"/>
      <c r="D688" s="170"/>
      <c r="E688" s="170"/>
      <c r="F688" s="170"/>
      <c r="G688" s="170"/>
    </row>
    <row r="689">
      <c r="A689" s="170"/>
      <c r="B689" s="170"/>
      <c r="C689" s="170"/>
      <c r="D689" s="170"/>
      <c r="E689" s="170"/>
      <c r="F689" s="170"/>
      <c r="G689" s="170"/>
    </row>
    <row r="690">
      <c r="A690" s="170"/>
      <c r="B690" s="170"/>
      <c r="C690" s="170"/>
      <c r="D690" s="170"/>
      <c r="E690" s="170"/>
      <c r="F690" s="170"/>
      <c r="G690" s="170"/>
    </row>
    <row r="691">
      <c r="A691" s="170"/>
      <c r="B691" s="170"/>
      <c r="C691" s="170"/>
      <c r="D691" s="170"/>
      <c r="E691" s="170"/>
      <c r="F691" s="170"/>
      <c r="G691" s="170"/>
    </row>
    <row r="692">
      <c r="A692" s="170"/>
      <c r="B692" s="170"/>
      <c r="C692" s="170"/>
      <c r="D692" s="170"/>
      <c r="E692" s="170"/>
      <c r="F692" s="170"/>
      <c r="G692" s="170"/>
    </row>
    <row r="693">
      <c r="A693" s="170"/>
      <c r="B693" s="170"/>
      <c r="C693" s="170"/>
      <c r="D693" s="170"/>
      <c r="E693" s="170"/>
      <c r="F693" s="170"/>
      <c r="G693" s="170"/>
    </row>
    <row r="694">
      <c r="A694" s="170"/>
      <c r="B694" s="170"/>
      <c r="C694" s="170"/>
      <c r="D694" s="170"/>
      <c r="E694" s="170"/>
      <c r="F694" s="170"/>
      <c r="G694" s="170"/>
    </row>
    <row r="695">
      <c r="A695" s="170"/>
      <c r="B695" s="170"/>
      <c r="C695" s="170"/>
      <c r="D695" s="170"/>
      <c r="E695" s="170"/>
      <c r="F695" s="170"/>
      <c r="G695" s="170"/>
    </row>
    <row r="696">
      <c r="A696" s="170"/>
      <c r="B696" s="170"/>
      <c r="C696" s="170"/>
      <c r="D696" s="170"/>
      <c r="E696" s="170"/>
      <c r="F696" s="170"/>
      <c r="G696" s="170"/>
    </row>
    <row r="697">
      <c r="A697" s="170"/>
      <c r="B697" s="170"/>
      <c r="C697" s="170"/>
      <c r="D697" s="170"/>
      <c r="E697" s="170"/>
      <c r="F697" s="170"/>
      <c r="G697" s="170"/>
    </row>
    <row r="698">
      <c r="A698" s="170"/>
      <c r="B698" s="170"/>
      <c r="C698" s="170"/>
      <c r="D698" s="170"/>
      <c r="E698" s="170"/>
      <c r="F698" s="170"/>
      <c r="G698" s="170"/>
    </row>
    <row r="699">
      <c r="A699" s="170"/>
      <c r="B699" s="170"/>
      <c r="C699" s="170"/>
      <c r="D699" s="170"/>
      <c r="E699" s="170"/>
      <c r="F699" s="170"/>
      <c r="G699" s="170"/>
    </row>
    <row r="700">
      <c r="A700" s="170"/>
      <c r="B700" s="170"/>
      <c r="C700" s="170"/>
      <c r="D700" s="170"/>
      <c r="E700" s="170"/>
      <c r="F700" s="170"/>
      <c r="G700" s="170"/>
    </row>
    <row r="701">
      <c r="A701" s="170"/>
      <c r="B701" s="170"/>
      <c r="C701" s="170"/>
      <c r="D701" s="170"/>
      <c r="E701" s="170"/>
      <c r="F701" s="170"/>
      <c r="G701" s="170"/>
    </row>
    <row r="702">
      <c r="A702" s="170"/>
      <c r="B702" s="170"/>
      <c r="C702" s="170"/>
      <c r="D702" s="170"/>
      <c r="E702" s="170"/>
      <c r="F702" s="170"/>
      <c r="G702" s="170"/>
    </row>
    <row r="703">
      <c r="A703" s="170"/>
      <c r="B703" s="170"/>
      <c r="C703" s="170"/>
      <c r="D703" s="170"/>
      <c r="E703" s="170"/>
      <c r="F703" s="170"/>
      <c r="G703" s="170"/>
    </row>
    <row r="704">
      <c r="A704" s="170"/>
      <c r="B704" s="170"/>
      <c r="C704" s="170"/>
      <c r="D704" s="170"/>
      <c r="E704" s="170"/>
      <c r="F704" s="170"/>
      <c r="G704" s="170"/>
    </row>
    <row r="705">
      <c r="A705" s="170"/>
      <c r="B705" s="170"/>
      <c r="C705" s="170"/>
      <c r="D705" s="170"/>
      <c r="E705" s="170"/>
      <c r="F705" s="170"/>
      <c r="G705" s="170"/>
    </row>
    <row r="706">
      <c r="A706" s="170"/>
      <c r="B706" s="170"/>
      <c r="C706" s="170"/>
      <c r="D706" s="170"/>
      <c r="E706" s="170"/>
      <c r="F706" s="170"/>
      <c r="G706" s="170"/>
    </row>
    <row r="707">
      <c r="A707" s="170"/>
      <c r="B707" s="170"/>
      <c r="C707" s="170"/>
      <c r="D707" s="170"/>
      <c r="E707" s="170"/>
      <c r="F707" s="170"/>
      <c r="G707" s="170"/>
    </row>
    <row r="708">
      <c r="A708" s="170"/>
      <c r="B708" s="170"/>
      <c r="C708" s="170"/>
      <c r="D708" s="170"/>
      <c r="E708" s="170"/>
      <c r="F708" s="170"/>
      <c r="G708" s="170"/>
    </row>
    <row r="709">
      <c r="A709" s="170"/>
      <c r="B709" s="170"/>
      <c r="C709" s="170"/>
      <c r="D709" s="170"/>
      <c r="E709" s="170"/>
      <c r="F709" s="170"/>
      <c r="G709" s="170"/>
    </row>
    <row r="710">
      <c r="A710" s="170"/>
      <c r="B710" s="170"/>
      <c r="C710" s="170"/>
      <c r="D710" s="170"/>
      <c r="E710" s="170"/>
      <c r="F710" s="170"/>
      <c r="G710" s="170"/>
    </row>
    <row r="711">
      <c r="A711" s="170"/>
      <c r="B711" s="170"/>
      <c r="C711" s="170"/>
      <c r="D711" s="170"/>
      <c r="E711" s="170"/>
      <c r="F711" s="170"/>
      <c r="G711" s="170"/>
    </row>
    <row r="712">
      <c r="A712" s="170"/>
      <c r="B712" s="170"/>
      <c r="C712" s="170"/>
      <c r="D712" s="170"/>
      <c r="E712" s="170"/>
      <c r="F712" s="170"/>
      <c r="G712" s="170"/>
    </row>
    <row r="713">
      <c r="A713" s="170"/>
      <c r="B713" s="170"/>
      <c r="C713" s="170"/>
      <c r="D713" s="170"/>
      <c r="E713" s="170"/>
      <c r="F713" s="170"/>
      <c r="G713" s="170"/>
    </row>
    <row r="714">
      <c r="A714" s="170"/>
      <c r="B714" s="170"/>
      <c r="C714" s="170"/>
      <c r="D714" s="170"/>
      <c r="E714" s="170"/>
      <c r="F714" s="170"/>
      <c r="G714" s="170"/>
    </row>
    <row r="715">
      <c r="A715" s="170"/>
      <c r="B715" s="170"/>
      <c r="C715" s="170"/>
      <c r="D715" s="170"/>
      <c r="E715" s="170"/>
      <c r="F715" s="170"/>
      <c r="G715" s="170"/>
    </row>
    <row r="716">
      <c r="A716" s="170"/>
      <c r="B716" s="170"/>
      <c r="C716" s="170"/>
      <c r="D716" s="170"/>
      <c r="E716" s="170"/>
      <c r="F716" s="170"/>
      <c r="G716" s="170"/>
    </row>
    <row r="717">
      <c r="A717" s="170"/>
      <c r="B717" s="170"/>
      <c r="C717" s="170"/>
      <c r="D717" s="170"/>
      <c r="E717" s="170"/>
      <c r="F717" s="170"/>
      <c r="G717" s="170"/>
    </row>
    <row r="718">
      <c r="A718" s="170"/>
      <c r="B718" s="170"/>
      <c r="C718" s="170"/>
      <c r="D718" s="170"/>
      <c r="E718" s="170"/>
      <c r="F718" s="170"/>
      <c r="G718" s="170"/>
    </row>
    <row r="719">
      <c r="A719" s="170"/>
      <c r="B719" s="170"/>
      <c r="C719" s="170"/>
      <c r="D719" s="170"/>
      <c r="E719" s="170"/>
      <c r="F719" s="170"/>
      <c r="G719" s="170"/>
    </row>
    <row r="720">
      <c r="A720" s="170"/>
      <c r="B720" s="170"/>
      <c r="C720" s="170"/>
      <c r="D720" s="170"/>
      <c r="E720" s="170"/>
      <c r="F720" s="170"/>
      <c r="G720" s="170"/>
    </row>
    <row r="721">
      <c r="A721" s="170"/>
      <c r="B721" s="170"/>
      <c r="C721" s="170"/>
      <c r="D721" s="170"/>
      <c r="E721" s="170"/>
      <c r="F721" s="170"/>
      <c r="G721" s="170"/>
    </row>
    <row r="722">
      <c r="A722" s="170"/>
      <c r="B722" s="170"/>
      <c r="C722" s="170"/>
      <c r="D722" s="170"/>
      <c r="E722" s="170"/>
      <c r="F722" s="170"/>
      <c r="G722" s="170"/>
    </row>
    <row r="723">
      <c r="A723" s="170"/>
      <c r="B723" s="170"/>
      <c r="C723" s="170"/>
      <c r="D723" s="170"/>
      <c r="E723" s="170"/>
      <c r="F723" s="170"/>
      <c r="G723" s="170"/>
    </row>
    <row r="724">
      <c r="A724" s="170"/>
      <c r="B724" s="170"/>
      <c r="C724" s="170"/>
      <c r="D724" s="170"/>
      <c r="E724" s="170"/>
      <c r="F724" s="170"/>
      <c r="G724" s="170"/>
    </row>
    <row r="725">
      <c r="A725" s="170"/>
      <c r="B725" s="170"/>
      <c r="C725" s="170"/>
      <c r="D725" s="170"/>
      <c r="E725" s="170"/>
      <c r="F725" s="170"/>
      <c r="G725" s="170"/>
    </row>
    <row r="726">
      <c r="A726" s="170"/>
      <c r="B726" s="170"/>
      <c r="C726" s="170"/>
      <c r="D726" s="170"/>
      <c r="E726" s="170"/>
      <c r="F726" s="170"/>
      <c r="G726" s="170"/>
    </row>
    <row r="727">
      <c r="A727" s="170"/>
      <c r="B727" s="170"/>
      <c r="C727" s="170"/>
      <c r="D727" s="170"/>
      <c r="E727" s="170"/>
      <c r="F727" s="170"/>
      <c r="G727" s="170"/>
    </row>
    <row r="728">
      <c r="A728" s="170"/>
      <c r="B728" s="170"/>
      <c r="C728" s="170"/>
      <c r="D728" s="170"/>
      <c r="E728" s="170"/>
      <c r="F728" s="170"/>
      <c r="G728" s="170"/>
    </row>
    <row r="729">
      <c r="A729" s="170"/>
      <c r="B729" s="170"/>
      <c r="C729" s="170"/>
      <c r="D729" s="170"/>
      <c r="E729" s="170"/>
      <c r="F729" s="170"/>
      <c r="G729" s="170"/>
    </row>
    <row r="730">
      <c r="A730" s="170"/>
      <c r="B730" s="170"/>
      <c r="C730" s="170"/>
      <c r="D730" s="170"/>
      <c r="E730" s="170"/>
      <c r="F730" s="170"/>
      <c r="G730" s="170"/>
    </row>
    <row r="731">
      <c r="A731" s="170"/>
      <c r="B731" s="170"/>
      <c r="C731" s="170"/>
      <c r="D731" s="170"/>
      <c r="E731" s="170"/>
      <c r="F731" s="170"/>
      <c r="G731" s="170"/>
    </row>
    <row r="732">
      <c r="A732" s="170"/>
      <c r="B732" s="170"/>
      <c r="C732" s="170"/>
      <c r="D732" s="170"/>
      <c r="E732" s="170"/>
      <c r="F732" s="170"/>
      <c r="G732" s="170"/>
    </row>
    <row r="733">
      <c r="A733" s="170"/>
      <c r="B733" s="170"/>
      <c r="C733" s="170"/>
      <c r="D733" s="170"/>
      <c r="E733" s="170"/>
      <c r="F733" s="170"/>
      <c r="G733" s="170"/>
    </row>
    <row r="734">
      <c r="A734" s="170"/>
      <c r="B734" s="170"/>
      <c r="C734" s="170"/>
      <c r="D734" s="170"/>
      <c r="E734" s="170"/>
      <c r="F734" s="170"/>
      <c r="G734" s="170"/>
    </row>
    <row r="735">
      <c r="A735" s="170"/>
      <c r="B735" s="170"/>
      <c r="C735" s="170"/>
      <c r="D735" s="170"/>
      <c r="E735" s="170"/>
      <c r="F735" s="170"/>
      <c r="G735" s="170"/>
    </row>
    <row r="736">
      <c r="A736" s="170"/>
      <c r="B736" s="170"/>
      <c r="C736" s="170"/>
      <c r="D736" s="170"/>
      <c r="E736" s="170"/>
      <c r="F736" s="170"/>
      <c r="G736" s="170"/>
    </row>
    <row r="737">
      <c r="A737" s="170"/>
      <c r="B737" s="170"/>
      <c r="C737" s="170"/>
      <c r="D737" s="170"/>
      <c r="E737" s="170"/>
      <c r="F737" s="170"/>
      <c r="G737" s="170"/>
    </row>
    <row r="738">
      <c r="A738" s="170"/>
      <c r="B738" s="170"/>
      <c r="C738" s="170"/>
      <c r="D738" s="170"/>
      <c r="E738" s="170"/>
      <c r="F738" s="170"/>
      <c r="G738" s="170"/>
    </row>
    <row r="739">
      <c r="A739" s="170"/>
      <c r="B739" s="170"/>
      <c r="C739" s="170"/>
      <c r="D739" s="170"/>
      <c r="E739" s="170"/>
      <c r="F739" s="170"/>
      <c r="G739" s="170"/>
    </row>
    <row r="740">
      <c r="A740" s="170"/>
      <c r="B740" s="170"/>
      <c r="C740" s="170"/>
      <c r="D740" s="170"/>
      <c r="E740" s="170"/>
      <c r="F740" s="170"/>
      <c r="G740" s="170"/>
    </row>
    <row r="741">
      <c r="A741" s="170"/>
      <c r="B741" s="170"/>
      <c r="C741" s="170"/>
      <c r="D741" s="170"/>
      <c r="E741" s="170"/>
      <c r="F741" s="170"/>
      <c r="G741" s="170"/>
    </row>
    <row r="742">
      <c r="A742" s="170"/>
      <c r="B742" s="170"/>
      <c r="C742" s="170"/>
      <c r="D742" s="170"/>
      <c r="E742" s="170"/>
      <c r="F742" s="170"/>
      <c r="G742" s="170"/>
    </row>
    <row r="743">
      <c r="A743" s="170"/>
      <c r="B743" s="170"/>
      <c r="C743" s="170"/>
      <c r="D743" s="170"/>
      <c r="E743" s="170"/>
      <c r="F743" s="170"/>
      <c r="G743" s="170"/>
    </row>
    <row r="744">
      <c r="A744" s="170"/>
      <c r="B744" s="170"/>
      <c r="C744" s="170"/>
      <c r="D744" s="170"/>
      <c r="E744" s="170"/>
      <c r="F744" s="170"/>
      <c r="G744" s="170"/>
    </row>
    <row r="745">
      <c r="A745" s="170"/>
      <c r="B745" s="170"/>
      <c r="C745" s="170"/>
      <c r="D745" s="170"/>
      <c r="E745" s="170"/>
      <c r="F745" s="170"/>
      <c r="G745" s="170"/>
    </row>
    <row r="746">
      <c r="A746" s="170"/>
      <c r="B746" s="170"/>
      <c r="C746" s="170"/>
      <c r="D746" s="170"/>
      <c r="E746" s="170"/>
      <c r="F746" s="170"/>
      <c r="G746" s="170"/>
    </row>
    <row r="747">
      <c r="A747" s="170"/>
      <c r="B747" s="170"/>
      <c r="C747" s="170"/>
      <c r="D747" s="170"/>
      <c r="E747" s="170"/>
      <c r="F747" s="170"/>
      <c r="G747" s="170"/>
    </row>
    <row r="748">
      <c r="A748" s="170"/>
      <c r="B748" s="170"/>
      <c r="C748" s="170"/>
      <c r="D748" s="170"/>
      <c r="E748" s="170"/>
      <c r="F748" s="170"/>
      <c r="G748" s="170"/>
    </row>
    <row r="749">
      <c r="A749" s="170"/>
      <c r="B749" s="170"/>
      <c r="C749" s="170"/>
      <c r="D749" s="170"/>
      <c r="E749" s="170"/>
      <c r="F749" s="170"/>
      <c r="G749" s="170"/>
    </row>
    <row r="750">
      <c r="A750" s="170"/>
      <c r="B750" s="170"/>
      <c r="C750" s="170"/>
      <c r="D750" s="170"/>
      <c r="E750" s="170"/>
      <c r="F750" s="170"/>
      <c r="G750" s="170"/>
    </row>
    <row r="751">
      <c r="A751" s="170"/>
      <c r="B751" s="170"/>
      <c r="C751" s="170"/>
      <c r="D751" s="170"/>
      <c r="E751" s="170"/>
      <c r="F751" s="170"/>
      <c r="G751" s="170"/>
    </row>
    <row r="752">
      <c r="A752" s="170"/>
      <c r="B752" s="170"/>
      <c r="C752" s="170"/>
      <c r="D752" s="170"/>
      <c r="E752" s="170"/>
      <c r="F752" s="170"/>
      <c r="G752" s="170"/>
    </row>
    <row r="753">
      <c r="A753" s="170"/>
      <c r="B753" s="170"/>
      <c r="C753" s="170"/>
      <c r="D753" s="170"/>
      <c r="E753" s="170"/>
      <c r="F753" s="170"/>
      <c r="G753" s="170"/>
    </row>
    <row r="754">
      <c r="A754" s="170"/>
      <c r="B754" s="170"/>
      <c r="C754" s="170"/>
      <c r="D754" s="170"/>
      <c r="E754" s="170"/>
      <c r="F754" s="170"/>
      <c r="G754" s="170"/>
    </row>
    <row r="755">
      <c r="A755" s="170"/>
      <c r="B755" s="170"/>
      <c r="C755" s="170"/>
      <c r="D755" s="170"/>
      <c r="E755" s="170"/>
      <c r="F755" s="170"/>
      <c r="G755" s="170"/>
    </row>
    <row r="756">
      <c r="A756" s="170"/>
      <c r="B756" s="170"/>
      <c r="C756" s="170"/>
      <c r="D756" s="170"/>
      <c r="E756" s="170"/>
      <c r="F756" s="170"/>
      <c r="G756" s="170"/>
    </row>
    <row r="757">
      <c r="A757" s="170"/>
      <c r="B757" s="170"/>
      <c r="C757" s="170"/>
      <c r="D757" s="170"/>
      <c r="E757" s="170"/>
      <c r="F757" s="170"/>
      <c r="G757" s="170"/>
    </row>
    <row r="758">
      <c r="A758" s="170"/>
      <c r="B758" s="170"/>
      <c r="C758" s="170"/>
      <c r="D758" s="170"/>
      <c r="E758" s="170"/>
      <c r="F758" s="170"/>
      <c r="G758" s="170"/>
    </row>
    <row r="759">
      <c r="A759" s="170"/>
      <c r="B759" s="170"/>
      <c r="C759" s="170"/>
      <c r="D759" s="170"/>
      <c r="E759" s="170"/>
      <c r="F759" s="170"/>
      <c r="G759" s="170"/>
    </row>
    <row r="760">
      <c r="A760" s="170"/>
      <c r="B760" s="170"/>
      <c r="C760" s="170"/>
      <c r="D760" s="170"/>
      <c r="E760" s="170"/>
      <c r="F760" s="170"/>
      <c r="G760" s="170"/>
    </row>
    <row r="761">
      <c r="A761" s="170"/>
      <c r="B761" s="170"/>
      <c r="C761" s="170"/>
      <c r="D761" s="170"/>
      <c r="E761" s="170"/>
      <c r="F761" s="170"/>
      <c r="G761" s="170"/>
    </row>
    <row r="762">
      <c r="A762" s="170"/>
      <c r="B762" s="170"/>
      <c r="C762" s="170"/>
      <c r="D762" s="170"/>
      <c r="E762" s="170"/>
      <c r="F762" s="170"/>
      <c r="G762" s="170"/>
    </row>
    <row r="763">
      <c r="A763" s="170"/>
      <c r="B763" s="170"/>
      <c r="C763" s="170"/>
      <c r="D763" s="170"/>
      <c r="E763" s="170"/>
      <c r="F763" s="170"/>
      <c r="G763" s="170"/>
    </row>
    <row r="764">
      <c r="A764" s="170"/>
      <c r="B764" s="170"/>
      <c r="C764" s="170"/>
      <c r="D764" s="170"/>
      <c r="E764" s="170"/>
      <c r="F764" s="170"/>
      <c r="G764" s="170"/>
    </row>
    <row r="765">
      <c r="A765" s="170"/>
      <c r="B765" s="170"/>
      <c r="C765" s="170"/>
      <c r="D765" s="170"/>
      <c r="E765" s="170"/>
      <c r="F765" s="170"/>
      <c r="G765" s="170"/>
    </row>
    <row r="766">
      <c r="A766" s="170"/>
      <c r="B766" s="170"/>
      <c r="C766" s="170"/>
      <c r="D766" s="170"/>
      <c r="E766" s="170"/>
      <c r="F766" s="170"/>
      <c r="G766" s="170"/>
    </row>
    <row r="767">
      <c r="A767" s="170"/>
      <c r="B767" s="170"/>
      <c r="C767" s="170"/>
      <c r="D767" s="170"/>
      <c r="E767" s="170"/>
      <c r="F767" s="170"/>
      <c r="G767" s="170"/>
    </row>
    <row r="768">
      <c r="A768" s="170"/>
      <c r="B768" s="170"/>
      <c r="C768" s="170"/>
      <c r="D768" s="170"/>
      <c r="E768" s="170"/>
      <c r="F768" s="170"/>
      <c r="G768" s="170"/>
    </row>
    <row r="769">
      <c r="A769" s="170"/>
      <c r="B769" s="170"/>
      <c r="C769" s="170"/>
      <c r="D769" s="170"/>
      <c r="E769" s="170"/>
      <c r="F769" s="170"/>
      <c r="G769" s="170"/>
    </row>
    <row r="770">
      <c r="A770" s="170"/>
      <c r="B770" s="170"/>
      <c r="C770" s="170"/>
      <c r="D770" s="170"/>
      <c r="E770" s="170"/>
      <c r="F770" s="170"/>
      <c r="G770" s="170"/>
    </row>
    <row r="771">
      <c r="A771" s="170"/>
      <c r="B771" s="170"/>
      <c r="C771" s="170"/>
      <c r="D771" s="170"/>
      <c r="E771" s="170"/>
      <c r="F771" s="170"/>
      <c r="G771" s="170"/>
    </row>
    <row r="772">
      <c r="A772" s="170"/>
      <c r="B772" s="170"/>
      <c r="C772" s="170"/>
      <c r="D772" s="170"/>
      <c r="E772" s="170"/>
      <c r="F772" s="170"/>
      <c r="G772" s="170"/>
    </row>
    <row r="773">
      <c r="A773" s="170"/>
      <c r="B773" s="170"/>
      <c r="C773" s="170"/>
      <c r="D773" s="170"/>
      <c r="E773" s="170"/>
      <c r="F773" s="170"/>
      <c r="G773" s="170"/>
    </row>
    <row r="774">
      <c r="A774" s="170"/>
      <c r="B774" s="170"/>
      <c r="C774" s="170"/>
      <c r="D774" s="170"/>
      <c r="E774" s="170"/>
      <c r="F774" s="170"/>
      <c r="G774" s="170"/>
    </row>
    <row r="775">
      <c r="A775" s="170"/>
      <c r="B775" s="170"/>
      <c r="C775" s="170"/>
      <c r="D775" s="170"/>
      <c r="E775" s="170"/>
      <c r="F775" s="170"/>
      <c r="G775" s="170"/>
    </row>
    <row r="776">
      <c r="A776" s="170"/>
      <c r="B776" s="170"/>
      <c r="C776" s="170"/>
      <c r="D776" s="170"/>
      <c r="E776" s="170"/>
      <c r="F776" s="170"/>
      <c r="G776" s="170"/>
    </row>
    <row r="777">
      <c r="A777" s="170"/>
      <c r="B777" s="170"/>
      <c r="C777" s="170"/>
      <c r="D777" s="170"/>
      <c r="E777" s="170"/>
      <c r="F777" s="170"/>
      <c r="G777" s="170"/>
    </row>
    <row r="778">
      <c r="A778" s="170"/>
      <c r="B778" s="170"/>
      <c r="C778" s="170"/>
      <c r="D778" s="170"/>
      <c r="E778" s="170"/>
      <c r="F778" s="170"/>
      <c r="G778" s="170"/>
    </row>
    <row r="779">
      <c r="A779" s="170"/>
      <c r="B779" s="170"/>
      <c r="C779" s="170"/>
      <c r="D779" s="170"/>
      <c r="E779" s="170"/>
      <c r="F779" s="170"/>
      <c r="G779" s="170"/>
    </row>
    <row r="780">
      <c r="A780" s="170"/>
      <c r="B780" s="170"/>
      <c r="C780" s="170"/>
      <c r="D780" s="170"/>
      <c r="E780" s="170"/>
      <c r="F780" s="170"/>
      <c r="G780" s="170"/>
    </row>
    <row r="781">
      <c r="A781" s="170"/>
      <c r="B781" s="170"/>
      <c r="C781" s="170"/>
      <c r="D781" s="170"/>
      <c r="E781" s="170"/>
      <c r="F781" s="170"/>
      <c r="G781" s="170"/>
    </row>
    <row r="782">
      <c r="A782" s="170"/>
      <c r="B782" s="170"/>
      <c r="C782" s="170"/>
      <c r="D782" s="170"/>
      <c r="E782" s="170"/>
      <c r="F782" s="170"/>
      <c r="G782" s="170"/>
    </row>
    <row r="783">
      <c r="A783" s="170"/>
      <c r="B783" s="170"/>
      <c r="C783" s="170"/>
      <c r="D783" s="170"/>
      <c r="E783" s="170"/>
      <c r="F783" s="170"/>
      <c r="G783" s="170"/>
    </row>
    <row r="784">
      <c r="A784" s="170"/>
      <c r="B784" s="170"/>
      <c r="C784" s="170"/>
      <c r="D784" s="170"/>
      <c r="E784" s="170"/>
      <c r="F784" s="170"/>
      <c r="G784" s="170"/>
    </row>
    <row r="785">
      <c r="A785" s="170"/>
      <c r="B785" s="170"/>
      <c r="C785" s="170"/>
      <c r="D785" s="170"/>
      <c r="E785" s="170"/>
      <c r="F785" s="170"/>
      <c r="G785" s="170"/>
    </row>
    <row r="786">
      <c r="A786" s="170"/>
      <c r="B786" s="170"/>
      <c r="C786" s="170"/>
      <c r="D786" s="170"/>
      <c r="E786" s="170"/>
      <c r="F786" s="170"/>
      <c r="G786" s="170"/>
    </row>
    <row r="787">
      <c r="A787" s="170"/>
      <c r="B787" s="170"/>
      <c r="C787" s="170"/>
      <c r="D787" s="170"/>
      <c r="E787" s="170"/>
      <c r="F787" s="170"/>
      <c r="G787" s="170"/>
    </row>
    <row r="788">
      <c r="A788" s="170"/>
      <c r="B788" s="170"/>
      <c r="C788" s="170"/>
      <c r="D788" s="170"/>
      <c r="E788" s="170"/>
      <c r="F788" s="170"/>
      <c r="G788" s="170"/>
    </row>
    <row r="789">
      <c r="A789" s="170"/>
      <c r="B789" s="170"/>
      <c r="C789" s="170"/>
      <c r="D789" s="170"/>
      <c r="E789" s="170"/>
      <c r="F789" s="170"/>
      <c r="G789" s="170"/>
    </row>
    <row r="790">
      <c r="A790" s="170"/>
      <c r="B790" s="170"/>
      <c r="C790" s="170"/>
      <c r="D790" s="170"/>
      <c r="E790" s="170"/>
      <c r="F790" s="170"/>
      <c r="G790" s="170"/>
    </row>
    <row r="791">
      <c r="A791" s="170"/>
      <c r="B791" s="170"/>
      <c r="C791" s="170"/>
      <c r="D791" s="170"/>
      <c r="E791" s="170"/>
      <c r="F791" s="170"/>
      <c r="G791" s="170"/>
    </row>
    <row r="792">
      <c r="A792" s="170"/>
      <c r="B792" s="170"/>
      <c r="C792" s="170"/>
      <c r="D792" s="170"/>
      <c r="E792" s="170"/>
      <c r="F792" s="170"/>
      <c r="G792" s="170"/>
    </row>
    <row r="793">
      <c r="A793" s="170"/>
      <c r="B793" s="170"/>
      <c r="C793" s="170"/>
      <c r="D793" s="170"/>
      <c r="E793" s="170"/>
      <c r="F793" s="170"/>
      <c r="G793" s="170"/>
    </row>
    <row r="794">
      <c r="A794" s="170"/>
      <c r="B794" s="170"/>
      <c r="C794" s="170"/>
      <c r="D794" s="170"/>
      <c r="E794" s="170"/>
      <c r="F794" s="170"/>
      <c r="G794" s="170"/>
    </row>
    <row r="795">
      <c r="A795" s="170"/>
      <c r="B795" s="170"/>
      <c r="C795" s="170"/>
      <c r="D795" s="170"/>
      <c r="E795" s="170"/>
      <c r="F795" s="170"/>
      <c r="G795" s="170"/>
    </row>
    <row r="796">
      <c r="A796" s="170"/>
      <c r="B796" s="170"/>
      <c r="C796" s="170"/>
      <c r="D796" s="170"/>
      <c r="E796" s="170"/>
      <c r="F796" s="170"/>
      <c r="G796" s="170"/>
    </row>
    <row r="797">
      <c r="A797" s="170"/>
      <c r="B797" s="170"/>
      <c r="C797" s="170"/>
      <c r="D797" s="170"/>
      <c r="E797" s="170"/>
      <c r="F797" s="170"/>
      <c r="G797" s="170"/>
    </row>
    <row r="798">
      <c r="A798" s="170"/>
      <c r="B798" s="170"/>
      <c r="C798" s="170"/>
      <c r="D798" s="170"/>
      <c r="E798" s="170"/>
      <c r="F798" s="170"/>
      <c r="G798" s="170"/>
    </row>
    <row r="799">
      <c r="A799" s="170"/>
      <c r="B799" s="170"/>
      <c r="C799" s="170"/>
      <c r="D799" s="170"/>
      <c r="E799" s="170"/>
      <c r="F799" s="170"/>
      <c r="G799" s="170"/>
    </row>
    <row r="800">
      <c r="A800" s="170"/>
      <c r="B800" s="170"/>
      <c r="C800" s="170"/>
      <c r="D800" s="170"/>
      <c r="E800" s="170"/>
      <c r="F800" s="170"/>
      <c r="G800" s="170"/>
    </row>
    <row r="801">
      <c r="A801" s="170"/>
      <c r="B801" s="170"/>
      <c r="C801" s="170"/>
      <c r="D801" s="170"/>
      <c r="E801" s="170"/>
      <c r="F801" s="170"/>
      <c r="G801" s="170"/>
    </row>
    <row r="802">
      <c r="A802" s="170"/>
      <c r="B802" s="170"/>
      <c r="C802" s="170"/>
      <c r="D802" s="170"/>
      <c r="E802" s="170"/>
      <c r="F802" s="170"/>
      <c r="G802" s="170"/>
    </row>
    <row r="803">
      <c r="A803" s="170"/>
      <c r="B803" s="170"/>
      <c r="C803" s="170"/>
      <c r="D803" s="170"/>
      <c r="E803" s="170"/>
      <c r="F803" s="170"/>
      <c r="G803" s="170"/>
    </row>
    <row r="804">
      <c r="A804" s="170"/>
      <c r="B804" s="170"/>
      <c r="C804" s="170"/>
      <c r="D804" s="170"/>
      <c r="E804" s="170"/>
      <c r="F804" s="170"/>
      <c r="G804" s="170"/>
    </row>
    <row r="805">
      <c r="A805" s="170"/>
      <c r="B805" s="170"/>
      <c r="C805" s="170"/>
      <c r="D805" s="170"/>
      <c r="E805" s="170"/>
      <c r="F805" s="170"/>
      <c r="G805" s="170"/>
    </row>
    <row r="806">
      <c r="A806" s="170"/>
      <c r="B806" s="170"/>
      <c r="C806" s="170"/>
      <c r="D806" s="170"/>
      <c r="E806" s="170"/>
      <c r="F806" s="170"/>
      <c r="G806" s="170"/>
    </row>
    <row r="807">
      <c r="A807" s="170"/>
      <c r="B807" s="170"/>
      <c r="C807" s="170"/>
      <c r="D807" s="170"/>
      <c r="E807" s="170"/>
      <c r="F807" s="170"/>
      <c r="G807" s="170"/>
    </row>
    <row r="808">
      <c r="A808" s="170"/>
      <c r="B808" s="170"/>
      <c r="C808" s="170"/>
      <c r="D808" s="170"/>
      <c r="E808" s="170"/>
      <c r="F808" s="170"/>
      <c r="G808" s="170"/>
    </row>
    <row r="809">
      <c r="A809" s="170"/>
      <c r="B809" s="170"/>
      <c r="C809" s="170"/>
      <c r="D809" s="170"/>
      <c r="E809" s="170"/>
      <c r="F809" s="170"/>
      <c r="G809" s="170"/>
    </row>
    <row r="810">
      <c r="A810" s="170"/>
      <c r="B810" s="170"/>
      <c r="C810" s="170"/>
      <c r="D810" s="170"/>
      <c r="E810" s="170"/>
      <c r="F810" s="170"/>
      <c r="G810" s="170"/>
    </row>
    <row r="811">
      <c r="A811" s="170"/>
      <c r="B811" s="170"/>
      <c r="C811" s="170"/>
      <c r="D811" s="170"/>
      <c r="E811" s="170"/>
      <c r="F811" s="170"/>
      <c r="G811" s="170"/>
    </row>
    <row r="812">
      <c r="A812" s="170"/>
      <c r="B812" s="170"/>
      <c r="C812" s="170"/>
      <c r="D812" s="170"/>
      <c r="E812" s="170"/>
      <c r="F812" s="170"/>
      <c r="G812" s="170"/>
    </row>
    <row r="813">
      <c r="A813" s="170"/>
      <c r="B813" s="170"/>
      <c r="C813" s="170"/>
      <c r="D813" s="170"/>
      <c r="E813" s="170"/>
      <c r="F813" s="170"/>
      <c r="G813" s="170"/>
    </row>
    <row r="814">
      <c r="A814" s="170"/>
      <c r="B814" s="170"/>
      <c r="C814" s="170"/>
      <c r="D814" s="170"/>
      <c r="E814" s="170"/>
      <c r="F814" s="170"/>
      <c r="G814" s="170"/>
    </row>
    <row r="815">
      <c r="A815" s="170"/>
      <c r="B815" s="170"/>
      <c r="C815" s="170"/>
      <c r="D815" s="170"/>
      <c r="E815" s="170"/>
      <c r="F815" s="170"/>
      <c r="G815" s="170"/>
    </row>
    <row r="816">
      <c r="A816" s="170"/>
      <c r="B816" s="170"/>
      <c r="C816" s="170"/>
      <c r="D816" s="170"/>
      <c r="E816" s="170"/>
      <c r="F816" s="170"/>
      <c r="G816" s="170"/>
    </row>
    <row r="817">
      <c r="A817" s="170"/>
      <c r="B817" s="170"/>
      <c r="C817" s="170"/>
      <c r="D817" s="170"/>
      <c r="E817" s="170"/>
      <c r="F817" s="170"/>
      <c r="G817" s="170"/>
    </row>
    <row r="818">
      <c r="A818" s="170"/>
      <c r="B818" s="170"/>
      <c r="C818" s="170"/>
      <c r="D818" s="170"/>
      <c r="E818" s="170"/>
      <c r="F818" s="170"/>
      <c r="G818" s="170"/>
    </row>
    <row r="819">
      <c r="A819" s="170"/>
      <c r="B819" s="170"/>
      <c r="C819" s="170"/>
      <c r="D819" s="170"/>
      <c r="E819" s="170"/>
      <c r="F819" s="170"/>
      <c r="G819" s="170"/>
    </row>
    <row r="820">
      <c r="A820" s="170"/>
      <c r="B820" s="170"/>
      <c r="C820" s="170"/>
      <c r="D820" s="170"/>
      <c r="E820" s="170"/>
      <c r="F820" s="170"/>
      <c r="G820" s="170"/>
    </row>
    <row r="821">
      <c r="A821" s="170"/>
      <c r="B821" s="170"/>
      <c r="C821" s="170"/>
      <c r="D821" s="170"/>
      <c r="E821" s="170"/>
      <c r="F821" s="170"/>
      <c r="G821" s="170"/>
    </row>
    <row r="822">
      <c r="A822" s="170"/>
      <c r="B822" s="170"/>
      <c r="C822" s="170"/>
      <c r="D822" s="170"/>
      <c r="E822" s="170"/>
      <c r="F822" s="170"/>
      <c r="G822" s="170"/>
    </row>
    <row r="823">
      <c r="A823" s="170"/>
      <c r="B823" s="170"/>
      <c r="C823" s="170"/>
      <c r="D823" s="170"/>
      <c r="E823" s="170"/>
      <c r="F823" s="170"/>
      <c r="G823" s="170"/>
    </row>
    <row r="824">
      <c r="A824" s="170"/>
      <c r="B824" s="170"/>
      <c r="C824" s="170"/>
      <c r="D824" s="170"/>
      <c r="E824" s="170"/>
      <c r="F824" s="170"/>
      <c r="G824" s="170"/>
    </row>
    <row r="825">
      <c r="A825" s="170"/>
      <c r="B825" s="170"/>
      <c r="C825" s="170"/>
      <c r="D825" s="170"/>
      <c r="E825" s="170"/>
      <c r="F825" s="170"/>
      <c r="G825" s="170"/>
    </row>
    <row r="826">
      <c r="A826" s="170"/>
      <c r="B826" s="170"/>
      <c r="C826" s="170"/>
      <c r="D826" s="170"/>
      <c r="E826" s="170"/>
      <c r="F826" s="170"/>
      <c r="G826" s="170"/>
    </row>
    <row r="827">
      <c r="A827" s="170"/>
      <c r="B827" s="170"/>
      <c r="C827" s="170"/>
      <c r="D827" s="170"/>
      <c r="E827" s="170"/>
      <c r="F827" s="170"/>
      <c r="G827" s="170"/>
    </row>
    <row r="828">
      <c r="A828" s="170"/>
      <c r="B828" s="170"/>
      <c r="C828" s="170"/>
      <c r="D828" s="170"/>
      <c r="E828" s="170"/>
      <c r="F828" s="170"/>
      <c r="G828" s="170"/>
    </row>
    <row r="829">
      <c r="A829" s="170"/>
      <c r="B829" s="170"/>
      <c r="C829" s="170"/>
      <c r="D829" s="170"/>
      <c r="E829" s="170"/>
      <c r="F829" s="170"/>
      <c r="G829" s="170"/>
    </row>
    <row r="830">
      <c r="A830" s="170"/>
      <c r="B830" s="170"/>
      <c r="C830" s="170"/>
      <c r="D830" s="170"/>
      <c r="E830" s="170"/>
      <c r="F830" s="170"/>
      <c r="G830" s="170"/>
    </row>
    <row r="831">
      <c r="A831" s="170"/>
      <c r="B831" s="170"/>
      <c r="C831" s="170"/>
      <c r="D831" s="170"/>
      <c r="E831" s="170"/>
      <c r="F831" s="170"/>
      <c r="G831" s="170"/>
    </row>
    <row r="832">
      <c r="A832" s="170"/>
      <c r="B832" s="170"/>
      <c r="C832" s="170"/>
      <c r="D832" s="170"/>
      <c r="E832" s="170"/>
      <c r="F832" s="170"/>
      <c r="G832" s="170"/>
    </row>
    <row r="833">
      <c r="A833" s="170"/>
      <c r="B833" s="170"/>
      <c r="C833" s="170"/>
      <c r="D833" s="170"/>
      <c r="E833" s="170"/>
      <c r="F833" s="170"/>
      <c r="G833" s="170"/>
    </row>
    <row r="834">
      <c r="A834" s="170"/>
      <c r="B834" s="170"/>
      <c r="C834" s="170"/>
      <c r="D834" s="170"/>
      <c r="E834" s="170"/>
      <c r="F834" s="170"/>
      <c r="G834" s="170"/>
    </row>
    <row r="835">
      <c r="A835" s="170"/>
      <c r="B835" s="170"/>
      <c r="C835" s="170"/>
      <c r="D835" s="170"/>
      <c r="E835" s="170"/>
      <c r="F835" s="170"/>
      <c r="G835" s="170"/>
    </row>
    <row r="836">
      <c r="A836" s="170"/>
      <c r="B836" s="170"/>
      <c r="C836" s="170"/>
      <c r="D836" s="170"/>
      <c r="E836" s="170"/>
      <c r="F836" s="170"/>
      <c r="G836" s="170"/>
    </row>
    <row r="837">
      <c r="A837" s="170"/>
      <c r="B837" s="170"/>
      <c r="C837" s="170"/>
      <c r="D837" s="170"/>
      <c r="E837" s="170"/>
      <c r="F837" s="170"/>
      <c r="G837" s="170"/>
    </row>
    <row r="838">
      <c r="A838" s="170"/>
      <c r="B838" s="170"/>
      <c r="C838" s="170"/>
      <c r="D838" s="170"/>
      <c r="E838" s="170"/>
      <c r="F838" s="170"/>
      <c r="G838" s="170"/>
    </row>
    <row r="839">
      <c r="A839" s="170"/>
      <c r="B839" s="170"/>
      <c r="C839" s="170"/>
      <c r="D839" s="170"/>
      <c r="E839" s="170"/>
      <c r="F839" s="170"/>
      <c r="G839" s="170"/>
    </row>
    <row r="840">
      <c r="A840" s="170"/>
      <c r="B840" s="170"/>
      <c r="C840" s="170"/>
      <c r="D840" s="170"/>
      <c r="E840" s="170"/>
      <c r="F840" s="170"/>
      <c r="G840" s="170"/>
    </row>
    <row r="841">
      <c r="A841" s="170"/>
      <c r="B841" s="170"/>
      <c r="C841" s="170"/>
      <c r="D841" s="170"/>
      <c r="E841" s="170"/>
      <c r="F841" s="170"/>
      <c r="G841" s="170"/>
    </row>
    <row r="842">
      <c r="A842" s="170"/>
      <c r="B842" s="170"/>
      <c r="C842" s="170"/>
      <c r="D842" s="170"/>
      <c r="E842" s="170"/>
      <c r="F842" s="170"/>
      <c r="G842" s="170"/>
    </row>
    <row r="843">
      <c r="A843" s="170"/>
      <c r="B843" s="170"/>
      <c r="C843" s="170"/>
      <c r="D843" s="170"/>
      <c r="E843" s="170"/>
      <c r="F843" s="170"/>
      <c r="G843" s="170"/>
    </row>
    <row r="844">
      <c r="A844" s="170"/>
      <c r="B844" s="170"/>
      <c r="C844" s="170"/>
      <c r="D844" s="170"/>
      <c r="E844" s="170"/>
      <c r="F844" s="170"/>
      <c r="G844" s="170"/>
    </row>
    <row r="845">
      <c r="A845" s="170"/>
      <c r="B845" s="170"/>
      <c r="C845" s="170"/>
      <c r="D845" s="170"/>
      <c r="E845" s="170"/>
      <c r="F845" s="170"/>
      <c r="G845" s="170"/>
    </row>
    <row r="846">
      <c r="A846" s="170"/>
      <c r="B846" s="170"/>
      <c r="C846" s="170"/>
      <c r="D846" s="170"/>
      <c r="E846" s="170"/>
      <c r="F846" s="170"/>
      <c r="G846" s="170"/>
    </row>
    <row r="847">
      <c r="A847" s="170"/>
      <c r="B847" s="170"/>
      <c r="C847" s="170"/>
      <c r="D847" s="170"/>
      <c r="E847" s="170"/>
      <c r="F847" s="170"/>
      <c r="G847" s="170"/>
    </row>
    <row r="848">
      <c r="A848" s="170"/>
      <c r="B848" s="170"/>
      <c r="C848" s="170"/>
      <c r="D848" s="170"/>
      <c r="E848" s="170"/>
      <c r="F848" s="170"/>
      <c r="G848" s="170"/>
    </row>
    <row r="849">
      <c r="A849" s="170"/>
      <c r="B849" s="170"/>
      <c r="C849" s="170"/>
      <c r="D849" s="170"/>
      <c r="E849" s="170"/>
      <c r="F849" s="170"/>
      <c r="G849" s="170"/>
    </row>
    <row r="850">
      <c r="A850" s="170"/>
      <c r="B850" s="170"/>
      <c r="C850" s="170"/>
      <c r="D850" s="170"/>
      <c r="E850" s="170"/>
      <c r="F850" s="170"/>
      <c r="G850" s="170"/>
    </row>
    <row r="851">
      <c r="A851" s="170"/>
      <c r="B851" s="170"/>
      <c r="C851" s="170"/>
      <c r="D851" s="170"/>
      <c r="E851" s="170"/>
      <c r="F851" s="170"/>
      <c r="G851" s="170"/>
    </row>
    <row r="852">
      <c r="A852" s="170"/>
      <c r="B852" s="170"/>
      <c r="C852" s="170"/>
      <c r="D852" s="170"/>
      <c r="E852" s="170"/>
      <c r="F852" s="170"/>
      <c r="G852" s="170"/>
    </row>
    <row r="853">
      <c r="A853" s="170"/>
      <c r="B853" s="170"/>
      <c r="C853" s="170"/>
      <c r="D853" s="170"/>
      <c r="E853" s="170"/>
      <c r="F853" s="170"/>
      <c r="G853" s="170"/>
    </row>
    <row r="854">
      <c r="A854" s="170"/>
      <c r="B854" s="170"/>
      <c r="C854" s="170"/>
      <c r="D854" s="170"/>
      <c r="E854" s="170"/>
      <c r="F854" s="170"/>
      <c r="G854" s="170"/>
    </row>
    <row r="855">
      <c r="A855" s="170"/>
      <c r="B855" s="170"/>
      <c r="C855" s="170"/>
      <c r="D855" s="170"/>
      <c r="E855" s="170"/>
      <c r="F855" s="170"/>
      <c r="G855" s="170"/>
    </row>
    <row r="856">
      <c r="A856" s="170"/>
      <c r="B856" s="170"/>
      <c r="C856" s="170"/>
      <c r="D856" s="170"/>
      <c r="E856" s="170"/>
      <c r="F856" s="170"/>
      <c r="G856" s="170"/>
    </row>
    <row r="857">
      <c r="A857" s="170"/>
      <c r="B857" s="170"/>
      <c r="C857" s="170"/>
      <c r="D857" s="170"/>
      <c r="E857" s="170"/>
      <c r="F857" s="170"/>
      <c r="G857" s="170"/>
    </row>
    <row r="858">
      <c r="A858" s="170"/>
      <c r="B858" s="170"/>
      <c r="C858" s="170"/>
      <c r="D858" s="170"/>
      <c r="E858" s="170"/>
      <c r="F858" s="170"/>
      <c r="G858" s="170"/>
    </row>
    <row r="859">
      <c r="A859" s="170"/>
      <c r="B859" s="170"/>
      <c r="C859" s="170"/>
      <c r="D859" s="170"/>
      <c r="E859" s="170"/>
      <c r="F859" s="170"/>
      <c r="G859" s="170"/>
    </row>
    <row r="860">
      <c r="A860" s="170"/>
      <c r="B860" s="170"/>
      <c r="C860" s="170"/>
      <c r="D860" s="170"/>
      <c r="E860" s="170"/>
      <c r="F860" s="170"/>
      <c r="G860" s="170"/>
    </row>
    <row r="861">
      <c r="A861" s="170"/>
      <c r="B861" s="170"/>
      <c r="C861" s="170"/>
      <c r="D861" s="170"/>
      <c r="E861" s="170"/>
      <c r="F861" s="170"/>
      <c r="G861" s="170"/>
    </row>
    <row r="862">
      <c r="A862" s="170"/>
      <c r="B862" s="170"/>
      <c r="C862" s="170"/>
      <c r="D862" s="170"/>
      <c r="E862" s="170"/>
      <c r="F862" s="170"/>
      <c r="G862" s="170"/>
    </row>
    <row r="863">
      <c r="A863" s="170"/>
      <c r="B863" s="170"/>
      <c r="C863" s="170"/>
      <c r="D863" s="170"/>
      <c r="E863" s="170"/>
      <c r="F863" s="170"/>
      <c r="G863" s="170"/>
    </row>
    <row r="864">
      <c r="A864" s="170"/>
      <c r="B864" s="170"/>
      <c r="C864" s="170"/>
      <c r="D864" s="170"/>
      <c r="E864" s="170"/>
      <c r="F864" s="170"/>
      <c r="G864" s="170"/>
    </row>
    <row r="865">
      <c r="A865" s="170"/>
      <c r="B865" s="170"/>
      <c r="C865" s="170"/>
      <c r="D865" s="170"/>
      <c r="E865" s="170"/>
      <c r="F865" s="170"/>
      <c r="G865" s="170"/>
    </row>
    <row r="866">
      <c r="A866" s="170"/>
      <c r="B866" s="170"/>
      <c r="C866" s="170"/>
      <c r="D866" s="170"/>
      <c r="E866" s="170"/>
      <c r="F866" s="170"/>
      <c r="G866" s="170"/>
    </row>
    <row r="867">
      <c r="A867" s="170"/>
      <c r="B867" s="170"/>
      <c r="C867" s="170"/>
      <c r="D867" s="170"/>
      <c r="E867" s="170"/>
      <c r="F867" s="170"/>
      <c r="G867" s="170"/>
    </row>
    <row r="868">
      <c r="A868" s="170"/>
      <c r="B868" s="170"/>
      <c r="C868" s="170"/>
      <c r="D868" s="170"/>
      <c r="E868" s="170"/>
      <c r="F868" s="170"/>
      <c r="G868" s="170"/>
    </row>
    <row r="869">
      <c r="A869" s="170"/>
      <c r="B869" s="170"/>
      <c r="C869" s="170"/>
      <c r="D869" s="170"/>
      <c r="E869" s="170"/>
      <c r="F869" s="170"/>
      <c r="G869" s="170"/>
    </row>
    <row r="870">
      <c r="A870" s="170"/>
      <c r="B870" s="170"/>
      <c r="C870" s="170"/>
      <c r="D870" s="170"/>
      <c r="E870" s="170"/>
      <c r="F870" s="170"/>
      <c r="G870" s="170"/>
    </row>
    <row r="871">
      <c r="A871" s="170"/>
      <c r="B871" s="170"/>
      <c r="C871" s="170"/>
      <c r="D871" s="170"/>
      <c r="E871" s="170"/>
      <c r="F871" s="170"/>
      <c r="G871" s="170"/>
    </row>
    <row r="872">
      <c r="A872" s="170"/>
      <c r="B872" s="170"/>
      <c r="C872" s="170"/>
      <c r="D872" s="170"/>
      <c r="E872" s="170"/>
      <c r="F872" s="170"/>
      <c r="G872" s="170"/>
    </row>
    <row r="873">
      <c r="A873" s="170"/>
      <c r="B873" s="170"/>
      <c r="C873" s="170"/>
      <c r="D873" s="170"/>
      <c r="E873" s="170"/>
      <c r="F873" s="170"/>
      <c r="G873" s="170"/>
    </row>
    <row r="874">
      <c r="A874" s="170"/>
      <c r="B874" s="170"/>
      <c r="C874" s="170"/>
      <c r="D874" s="170"/>
      <c r="E874" s="170"/>
      <c r="F874" s="170"/>
      <c r="G874" s="170"/>
    </row>
    <row r="875">
      <c r="A875" s="170"/>
      <c r="B875" s="170"/>
      <c r="C875" s="170"/>
      <c r="D875" s="170"/>
      <c r="E875" s="170"/>
      <c r="F875" s="170"/>
      <c r="G875" s="170"/>
    </row>
    <row r="876">
      <c r="A876" s="170"/>
      <c r="B876" s="170"/>
      <c r="C876" s="170"/>
      <c r="D876" s="170"/>
      <c r="E876" s="170"/>
      <c r="F876" s="170"/>
      <c r="G876" s="170"/>
    </row>
    <row r="877">
      <c r="A877" s="170"/>
      <c r="B877" s="170"/>
      <c r="C877" s="170"/>
      <c r="D877" s="170"/>
      <c r="E877" s="170"/>
      <c r="F877" s="170"/>
      <c r="G877" s="170"/>
    </row>
    <row r="878">
      <c r="A878" s="170"/>
      <c r="B878" s="170"/>
      <c r="C878" s="170"/>
      <c r="D878" s="170"/>
      <c r="E878" s="170"/>
      <c r="F878" s="170"/>
      <c r="G878" s="170"/>
    </row>
    <row r="879">
      <c r="A879" s="170"/>
      <c r="B879" s="170"/>
      <c r="C879" s="170"/>
      <c r="D879" s="170"/>
      <c r="E879" s="170"/>
      <c r="F879" s="170"/>
      <c r="G879" s="170"/>
    </row>
    <row r="880">
      <c r="A880" s="170"/>
      <c r="B880" s="170"/>
      <c r="C880" s="170"/>
      <c r="D880" s="170"/>
      <c r="E880" s="170"/>
      <c r="F880" s="170"/>
      <c r="G880" s="170"/>
    </row>
    <row r="881">
      <c r="A881" s="170"/>
      <c r="B881" s="170"/>
      <c r="C881" s="170"/>
      <c r="D881" s="170"/>
      <c r="E881" s="170"/>
      <c r="F881" s="170"/>
      <c r="G881" s="170"/>
    </row>
    <row r="882">
      <c r="A882" s="170"/>
      <c r="B882" s="170"/>
      <c r="C882" s="170"/>
      <c r="D882" s="170"/>
      <c r="E882" s="170"/>
      <c r="F882" s="170"/>
      <c r="G882" s="170"/>
    </row>
    <row r="883">
      <c r="A883" s="170"/>
      <c r="B883" s="170"/>
      <c r="C883" s="170"/>
      <c r="D883" s="170"/>
      <c r="E883" s="170"/>
      <c r="F883" s="170"/>
      <c r="G883" s="170"/>
    </row>
    <row r="884">
      <c r="A884" s="170"/>
      <c r="B884" s="170"/>
      <c r="C884" s="170"/>
      <c r="D884" s="170"/>
      <c r="E884" s="170"/>
      <c r="F884" s="170"/>
      <c r="G884" s="170"/>
    </row>
    <row r="885">
      <c r="A885" s="170"/>
      <c r="B885" s="170"/>
      <c r="C885" s="170"/>
      <c r="D885" s="170"/>
      <c r="E885" s="170"/>
      <c r="F885" s="170"/>
      <c r="G885" s="170"/>
    </row>
    <row r="886">
      <c r="A886" s="170"/>
      <c r="B886" s="170"/>
      <c r="C886" s="170"/>
      <c r="D886" s="170"/>
      <c r="E886" s="170"/>
      <c r="F886" s="170"/>
      <c r="G886" s="170"/>
    </row>
    <row r="887">
      <c r="A887" s="170"/>
      <c r="B887" s="170"/>
      <c r="C887" s="170"/>
      <c r="D887" s="170"/>
      <c r="E887" s="170"/>
      <c r="F887" s="170"/>
      <c r="G887" s="170"/>
    </row>
    <row r="888">
      <c r="A888" s="170"/>
      <c r="B888" s="170"/>
      <c r="C888" s="170"/>
      <c r="D888" s="170"/>
      <c r="E888" s="170"/>
      <c r="F888" s="170"/>
      <c r="G888" s="170"/>
    </row>
    <row r="889">
      <c r="A889" s="170"/>
      <c r="B889" s="170"/>
      <c r="C889" s="170"/>
      <c r="D889" s="170"/>
      <c r="E889" s="170"/>
      <c r="F889" s="170"/>
      <c r="G889" s="170"/>
    </row>
    <row r="890">
      <c r="A890" s="170"/>
      <c r="B890" s="170"/>
      <c r="C890" s="170"/>
      <c r="D890" s="170"/>
      <c r="E890" s="170"/>
      <c r="F890" s="170"/>
      <c r="G890" s="170"/>
    </row>
    <row r="891">
      <c r="A891" s="170"/>
      <c r="B891" s="170"/>
      <c r="C891" s="170"/>
      <c r="D891" s="170"/>
      <c r="E891" s="170"/>
      <c r="F891" s="170"/>
      <c r="G891" s="170"/>
    </row>
    <row r="892">
      <c r="A892" s="170"/>
      <c r="B892" s="170"/>
      <c r="C892" s="170"/>
      <c r="D892" s="170"/>
      <c r="E892" s="170"/>
      <c r="F892" s="170"/>
      <c r="G892" s="170"/>
    </row>
    <row r="893">
      <c r="A893" s="170"/>
      <c r="B893" s="170"/>
      <c r="C893" s="170"/>
      <c r="D893" s="170"/>
      <c r="E893" s="170"/>
      <c r="F893" s="170"/>
      <c r="G893" s="170"/>
    </row>
    <row r="894">
      <c r="A894" s="170"/>
      <c r="B894" s="170"/>
      <c r="C894" s="170"/>
      <c r="D894" s="170"/>
      <c r="E894" s="170"/>
      <c r="F894" s="170"/>
      <c r="G894" s="170"/>
    </row>
    <row r="895">
      <c r="A895" s="170"/>
      <c r="B895" s="170"/>
      <c r="C895" s="170"/>
      <c r="D895" s="170"/>
      <c r="E895" s="170"/>
      <c r="F895" s="170"/>
      <c r="G895" s="170"/>
    </row>
    <row r="896">
      <c r="A896" s="170"/>
      <c r="B896" s="170"/>
      <c r="C896" s="170"/>
      <c r="D896" s="170"/>
      <c r="E896" s="170"/>
      <c r="F896" s="170"/>
      <c r="G896" s="170"/>
    </row>
    <row r="897">
      <c r="A897" s="170"/>
      <c r="B897" s="170"/>
      <c r="C897" s="170"/>
      <c r="D897" s="170"/>
      <c r="E897" s="170"/>
      <c r="F897" s="170"/>
      <c r="G897" s="170"/>
    </row>
    <row r="898">
      <c r="A898" s="170"/>
      <c r="B898" s="170"/>
      <c r="C898" s="170"/>
      <c r="D898" s="170"/>
      <c r="E898" s="170"/>
      <c r="F898" s="170"/>
      <c r="G898" s="170"/>
    </row>
    <row r="899">
      <c r="A899" s="170"/>
      <c r="B899" s="170"/>
      <c r="C899" s="170"/>
      <c r="D899" s="170"/>
      <c r="E899" s="170"/>
      <c r="F899" s="170"/>
      <c r="G899" s="170"/>
    </row>
    <row r="900">
      <c r="A900" s="170"/>
      <c r="B900" s="170"/>
      <c r="C900" s="170"/>
      <c r="D900" s="170"/>
      <c r="E900" s="170"/>
      <c r="F900" s="170"/>
      <c r="G900" s="170"/>
    </row>
    <row r="901">
      <c r="A901" s="170"/>
      <c r="B901" s="170"/>
      <c r="C901" s="170"/>
      <c r="D901" s="170"/>
      <c r="E901" s="170"/>
      <c r="F901" s="170"/>
      <c r="G901" s="170"/>
    </row>
    <row r="902">
      <c r="A902" s="170"/>
      <c r="B902" s="170"/>
      <c r="C902" s="170"/>
      <c r="D902" s="170"/>
      <c r="E902" s="170"/>
      <c r="F902" s="170"/>
      <c r="G902" s="170"/>
    </row>
    <row r="903">
      <c r="A903" s="170"/>
      <c r="B903" s="170"/>
      <c r="C903" s="170"/>
      <c r="D903" s="170"/>
      <c r="E903" s="170"/>
      <c r="F903" s="170"/>
      <c r="G903" s="170"/>
    </row>
    <row r="904">
      <c r="A904" s="170"/>
      <c r="B904" s="170"/>
      <c r="C904" s="170"/>
      <c r="D904" s="170"/>
      <c r="E904" s="170"/>
      <c r="F904" s="170"/>
      <c r="G904" s="170"/>
    </row>
    <row r="905">
      <c r="A905" s="170"/>
      <c r="B905" s="170"/>
      <c r="C905" s="170"/>
      <c r="D905" s="170"/>
      <c r="E905" s="170"/>
      <c r="F905" s="170"/>
      <c r="G905" s="170"/>
    </row>
    <row r="906">
      <c r="A906" s="170"/>
      <c r="B906" s="170"/>
      <c r="C906" s="170"/>
      <c r="D906" s="170"/>
      <c r="E906" s="170"/>
      <c r="F906" s="170"/>
      <c r="G906" s="170"/>
    </row>
    <row r="907">
      <c r="A907" s="170"/>
      <c r="B907" s="170"/>
      <c r="C907" s="170"/>
      <c r="D907" s="170"/>
      <c r="E907" s="170"/>
      <c r="F907" s="170"/>
      <c r="G907" s="170"/>
    </row>
    <row r="908">
      <c r="A908" s="170"/>
      <c r="B908" s="170"/>
      <c r="C908" s="170"/>
      <c r="D908" s="170"/>
      <c r="E908" s="170"/>
      <c r="F908" s="170"/>
      <c r="G908" s="170"/>
    </row>
    <row r="909">
      <c r="A909" s="170"/>
      <c r="B909" s="170"/>
      <c r="C909" s="170"/>
      <c r="D909" s="170"/>
      <c r="E909" s="170"/>
      <c r="F909" s="170"/>
      <c r="G909" s="170"/>
    </row>
    <row r="910">
      <c r="A910" s="170"/>
      <c r="B910" s="170"/>
      <c r="C910" s="170"/>
      <c r="D910" s="170"/>
      <c r="E910" s="170"/>
      <c r="F910" s="170"/>
      <c r="G910" s="170"/>
    </row>
    <row r="911">
      <c r="A911" s="170"/>
      <c r="B911" s="170"/>
      <c r="C911" s="170"/>
      <c r="D911" s="170"/>
      <c r="E911" s="170"/>
      <c r="F911" s="170"/>
      <c r="G911" s="170"/>
    </row>
    <row r="912">
      <c r="A912" s="170"/>
      <c r="B912" s="170"/>
      <c r="C912" s="170"/>
      <c r="D912" s="170"/>
      <c r="E912" s="170"/>
      <c r="F912" s="170"/>
      <c r="G912" s="170"/>
    </row>
    <row r="913">
      <c r="A913" s="170"/>
      <c r="B913" s="170"/>
      <c r="C913" s="170"/>
      <c r="D913" s="170"/>
      <c r="E913" s="170"/>
      <c r="F913" s="170"/>
      <c r="G913" s="170"/>
    </row>
    <row r="914">
      <c r="A914" s="170"/>
      <c r="B914" s="170"/>
      <c r="C914" s="170"/>
      <c r="D914" s="170"/>
      <c r="E914" s="170"/>
      <c r="F914" s="170"/>
      <c r="G914" s="170"/>
    </row>
    <row r="915">
      <c r="A915" s="170"/>
      <c r="B915" s="170"/>
      <c r="C915" s="170"/>
      <c r="D915" s="170"/>
      <c r="E915" s="170"/>
      <c r="F915" s="170"/>
      <c r="G915" s="170"/>
    </row>
    <row r="916">
      <c r="A916" s="170"/>
      <c r="B916" s="170"/>
      <c r="C916" s="170"/>
      <c r="D916" s="170"/>
      <c r="E916" s="170"/>
      <c r="F916" s="170"/>
      <c r="G916" s="170"/>
    </row>
    <row r="917">
      <c r="A917" s="170"/>
      <c r="B917" s="170"/>
      <c r="C917" s="170"/>
      <c r="D917" s="170"/>
      <c r="E917" s="170"/>
      <c r="F917" s="170"/>
      <c r="G917" s="170"/>
    </row>
    <row r="918">
      <c r="A918" s="170"/>
      <c r="B918" s="170"/>
      <c r="C918" s="170"/>
      <c r="D918" s="170"/>
      <c r="E918" s="170"/>
      <c r="F918" s="170"/>
      <c r="G918" s="170"/>
    </row>
    <row r="919">
      <c r="A919" s="170"/>
      <c r="B919" s="170"/>
      <c r="C919" s="170"/>
      <c r="D919" s="170"/>
      <c r="E919" s="170"/>
      <c r="F919" s="170"/>
      <c r="G919" s="170"/>
    </row>
    <row r="920">
      <c r="A920" s="170"/>
      <c r="B920" s="170"/>
      <c r="C920" s="170"/>
      <c r="D920" s="170"/>
      <c r="E920" s="170"/>
      <c r="F920" s="170"/>
      <c r="G920" s="170"/>
    </row>
    <row r="921">
      <c r="A921" s="170"/>
      <c r="B921" s="170"/>
      <c r="C921" s="170"/>
      <c r="D921" s="170"/>
      <c r="E921" s="170"/>
      <c r="F921" s="170"/>
      <c r="G921" s="170"/>
    </row>
    <row r="922">
      <c r="A922" s="170"/>
      <c r="B922" s="170"/>
      <c r="C922" s="170"/>
      <c r="D922" s="170"/>
      <c r="E922" s="170"/>
      <c r="F922" s="170"/>
      <c r="G922" s="170"/>
    </row>
    <row r="923">
      <c r="A923" s="170"/>
      <c r="B923" s="170"/>
      <c r="C923" s="170"/>
      <c r="D923" s="170"/>
      <c r="E923" s="170"/>
      <c r="F923" s="170"/>
      <c r="G923" s="170"/>
    </row>
    <row r="924">
      <c r="A924" s="170"/>
      <c r="B924" s="170"/>
      <c r="C924" s="170"/>
      <c r="D924" s="170"/>
      <c r="E924" s="170"/>
      <c r="F924" s="170"/>
      <c r="G924" s="170"/>
    </row>
    <row r="925">
      <c r="A925" s="170"/>
      <c r="B925" s="170"/>
      <c r="C925" s="170"/>
      <c r="D925" s="170"/>
      <c r="E925" s="170"/>
      <c r="F925" s="170"/>
      <c r="G925" s="170"/>
    </row>
    <row r="926">
      <c r="A926" s="170"/>
      <c r="B926" s="170"/>
      <c r="C926" s="170"/>
      <c r="D926" s="170"/>
      <c r="E926" s="170"/>
      <c r="F926" s="170"/>
      <c r="G926" s="170"/>
    </row>
    <row r="927">
      <c r="A927" s="170"/>
      <c r="B927" s="170"/>
      <c r="C927" s="170"/>
      <c r="D927" s="170"/>
      <c r="E927" s="170"/>
      <c r="F927" s="170"/>
      <c r="G927" s="170"/>
    </row>
    <row r="928">
      <c r="A928" s="170"/>
      <c r="B928" s="170"/>
      <c r="C928" s="170"/>
      <c r="D928" s="170"/>
      <c r="E928" s="170"/>
      <c r="F928" s="170"/>
      <c r="G928" s="170"/>
    </row>
    <row r="929">
      <c r="A929" s="170"/>
      <c r="B929" s="170"/>
      <c r="C929" s="170"/>
      <c r="D929" s="170"/>
      <c r="E929" s="170"/>
      <c r="F929" s="170"/>
      <c r="G929" s="170"/>
    </row>
    <row r="930">
      <c r="A930" s="170"/>
      <c r="B930" s="170"/>
      <c r="C930" s="170"/>
      <c r="D930" s="170"/>
      <c r="E930" s="170"/>
      <c r="F930" s="170"/>
      <c r="G930" s="170"/>
    </row>
    <row r="931">
      <c r="A931" s="170"/>
      <c r="B931" s="170"/>
      <c r="C931" s="170"/>
      <c r="D931" s="170"/>
      <c r="E931" s="170"/>
      <c r="F931" s="170"/>
      <c r="G931" s="170"/>
    </row>
    <row r="932">
      <c r="A932" s="170"/>
      <c r="B932" s="170"/>
      <c r="C932" s="170"/>
      <c r="D932" s="170"/>
      <c r="E932" s="170"/>
      <c r="F932" s="170"/>
      <c r="G932" s="170"/>
    </row>
    <row r="933">
      <c r="A933" s="170"/>
      <c r="B933" s="170"/>
      <c r="C933" s="170"/>
      <c r="D933" s="170"/>
      <c r="E933" s="170"/>
      <c r="F933" s="170"/>
      <c r="G933" s="170"/>
    </row>
    <row r="934">
      <c r="A934" s="170"/>
      <c r="B934" s="170"/>
      <c r="C934" s="170"/>
      <c r="D934" s="170"/>
      <c r="E934" s="170"/>
      <c r="F934" s="170"/>
      <c r="G934" s="170"/>
    </row>
    <row r="935">
      <c r="A935" s="170"/>
      <c r="B935" s="170"/>
      <c r="C935" s="170"/>
      <c r="D935" s="170"/>
      <c r="E935" s="170"/>
      <c r="F935" s="170"/>
      <c r="G935" s="170"/>
    </row>
    <row r="936">
      <c r="A936" s="170"/>
      <c r="B936" s="170"/>
      <c r="C936" s="170"/>
      <c r="D936" s="170"/>
      <c r="E936" s="170"/>
      <c r="F936" s="170"/>
      <c r="G936" s="170"/>
    </row>
    <row r="937">
      <c r="A937" s="170"/>
      <c r="B937" s="170"/>
      <c r="C937" s="170"/>
      <c r="D937" s="170"/>
      <c r="E937" s="170"/>
      <c r="F937" s="170"/>
      <c r="G937" s="170"/>
    </row>
    <row r="938">
      <c r="A938" s="170"/>
      <c r="B938" s="170"/>
      <c r="C938" s="170"/>
      <c r="D938" s="170"/>
      <c r="E938" s="170"/>
      <c r="F938" s="170"/>
      <c r="G938" s="170"/>
    </row>
    <row r="939">
      <c r="A939" s="170"/>
      <c r="B939" s="170"/>
      <c r="C939" s="170"/>
      <c r="D939" s="170"/>
      <c r="E939" s="170"/>
      <c r="F939" s="170"/>
      <c r="G939" s="170"/>
    </row>
    <row r="940">
      <c r="A940" s="170"/>
      <c r="B940" s="170"/>
      <c r="C940" s="170"/>
      <c r="D940" s="170"/>
      <c r="E940" s="170"/>
      <c r="F940" s="170"/>
      <c r="G940" s="170"/>
    </row>
    <row r="941">
      <c r="A941" s="170"/>
      <c r="B941" s="170"/>
      <c r="C941" s="170"/>
      <c r="D941" s="170"/>
      <c r="E941" s="170"/>
      <c r="F941" s="170"/>
      <c r="G941" s="170"/>
    </row>
    <row r="942">
      <c r="A942" s="170"/>
      <c r="B942" s="170"/>
      <c r="C942" s="170"/>
      <c r="D942" s="170"/>
      <c r="E942" s="170"/>
      <c r="F942" s="170"/>
      <c r="G942" s="170"/>
    </row>
    <row r="943">
      <c r="A943" s="170"/>
      <c r="B943" s="170"/>
      <c r="C943" s="170"/>
      <c r="D943" s="170"/>
      <c r="E943" s="170"/>
      <c r="F943" s="170"/>
      <c r="G943" s="170"/>
    </row>
    <row r="944">
      <c r="A944" s="170"/>
      <c r="B944" s="170"/>
      <c r="C944" s="170"/>
      <c r="D944" s="170"/>
      <c r="E944" s="170"/>
      <c r="F944" s="170"/>
      <c r="G944" s="170"/>
    </row>
    <row r="945">
      <c r="A945" s="170"/>
      <c r="B945" s="170"/>
      <c r="C945" s="170"/>
      <c r="D945" s="170"/>
      <c r="E945" s="170"/>
      <c r="F945" s="170"/>
      <c r="G945" s="170"/>
    </row>
    <row r="946">
      <c r="A946" s="170"/>
      <c r="B946" s="170"/>
      <c r="C946" s="170"/>
      <c r="D946" s="170"/>
      <c r="E946" s="170"/>
      <c r="F946" s="170"/>
      <c r="G946" s="170"/>
    </row>
    <row r="947">
      <c r="A947" s="170"/>
      <c r="B947" s="170"/>
      <c r="C947" s="170"/>
      <c r="D947" s="170"/>
      <c r="E947" s="170"/>
      <c r="F947" s="170"/>
      <c r="G947" s="170"/>
    </row>
    <row r="948">
      <c r="A948" s="170"/>
      <c r="B948" s="170"/>
      <c r="C948" s="170"/>
      <c r="D948" s="170"/>
      <c r="E948" s="170"/>
      <c r="F948" s="170"/>
      <c r="G948" s="170"/>
    </row>
    <row r="949">
      <c r="A949" s="170"/>
      <c r="B949" s="170"/>
      <c r="C949" s="170"/>
      <c r="D949" s="170"/>
      <c r="E949" s="170"/>
      <c r="F949" s="170"/>
      <c r="G949" s="170"/>
    </row>
    <row r="950">
      <c r="A950" s="170"/>
      <c r="B950" s="170"/>
      <c r="C950" s="170"/>
      <c r="D950" s="170"/>
      <c r="E950" s="170"/>
      <c r="F950" s="170"/>
      <c r="G950" s="170"/>
    </row>
    <row r="951">
      <c r="A951" s="170"/>
      <c r="B951" s="170"/>
      <c r="C951" s="170"/>
      <c r="D951" s="170"/>
      <c r="E951" s="170"/>
      <c r="F951" s="170"/>
      <c r="G951" s="170"/>
    </row>
    <row r="952">
      <c r="A952" s="170"/>
      <c r="B952" s="170"/>
      <c r="C952" s="170"/>
      <c r="D952" s="170"/>
      <c r="E952" s="170"/>
      <c r="F952" s="170"/>
      <c r="G952" s="170"/>
    </row>
    <row r="953">
      <c r="A953" s="170"/>
      <c r="B953" s="170"/>
      <c r="C953" s="170"/>
      <c r="D953" s="170"/>
      <c r="E953" s="170"/>
      <c r="F953" s="170"/>
      <c r="G953" s="170"/>
    </row>
    <row r="954">
      <c r="A954" s="170"/>
      <c r="B954" s="170"/>
      <c r="C954" s="170"/>
      <c r="D954" s="170"/>
      <c r="E954" s="170"/>
      <c r="F954" s="170"/>
      <c r="G954" s="170"/>
    </row>
    <row r="955">
      <c r="A955" s="170"/>
      <c r="B955" s="170"/>
      <c r="C955" s="170"/>
      <c r="D955" s="170"/>
      <c r="E955" s="170"/>
      <c r="F955" s="170"/>
      <c r="G955" s="170"/>
    </row>
    <row r="956">
      <c r="A956" s="170"/>
      <c r="B956" s="170"/>
      <c r="C956" s="170"/>
      <c r="D956" s="170"/>
      <c r="E956" s="170"/>
      <c r="F956" s="170"/>
      <c r="G956" s="170"/>
    </row>
    <row r="957">
      <c r="A957" s="170"/>
      <c r="B957" s="170"/>
      <c r="C957" s="170"/>
      <c r="D957" s="170"/>
      <c r="E957" s="170"/>
      <c r="F957" s="170"/>
      <c r="G957" s="170"/>
    </row>
    <row r="958">
      <c r="A958" s="170"/>
      <c r="B958" s="170"/>
      <c r="C958" s="170"/>
      <c r="D958" s="170"/>
      <c r="E958" s="170"/>
      <c r="F958" s="170"/>
      <c r="G958" s="170"/>
    </row>
    <row r="959">
      <c r="A959" s="170"/>
      <c r="B959" s="170"/>
      <c r="C959" s="170"/>
      <c r="D959" s="170"/>
      <c r="E959" s="170"/>
      <c r="F959" s="170"/>
      <c r="G959" s="170"/>
    </row>
    <row r="960">
      <c r="A960" s="170"/>
      <c r="B960" s="170"/>
      <c r="C960" s="170"/>
      <c r="D960" s="170"/>
      <c r="E960" s="170"/>
      <c r="F960" s="170"/>
      <c r="G960" s="170"/>
    </row>
    <row r="961">
      <c r="A961" s="170"/>
      <c r="B961" s="170"/>
      <c r="C961" s="170"/>
      <c r="D961" s="170"/>
      <c r="E961" s="170"/>
      <c r="F961" s="170"/>
      <c r="G961" s="170"/>
    </row>
    <row r="962">
      <c r="A962" s="170"/>
      <c r="B962" s="170"/>
      <c r="C962" s="170"/>
      <c r="D962" s="170"/>
      <c r="E962" s="170"/>
      <c r="F962" s="170"/>
      <c r="G962" s="170"/>
    </row>
    <row r="963">
      <c r="A963" s="170"/>
      <c r="B963" s="170"/>
      <c r="C963" s="170"/>
      <c r="D963" s="170"/>
      <c r="E963" s="170"/>
      <c r="F963" s="170"/>
      <c r="G963" s="170"/>
    </row>
    <row r="964">
      <c r="A964" s="170"/>
      <c r="B964" s="170"/>
      <c r="C964" s="170"/>
      <c r="D964" s="170"/>
      <c r="E964" s="170"/>
      <c r="F964" s="170"/>
      <c r="G964" s="170"/>
    </row>
    <row r="965">
      <c r="A965" s="170"/>
      <c r="B965" s="170"/>
      <c r="C965" s="170"/>
      <c r="D965" s="170"/>
      <c r="E965" s="170"/>
      <c r="F965" s="170"/>
      <c r="G965" s="170"/>
    </row>
    <row r="966">
      <c r="A966" s="170"/>
      <c r="B966" s="170"/>
      <c r="C966" s="170"/>
      <c r="D966" s="170"/>
      <c r="E966" s="170"/>
      <c r="F966" s="170"/>
      <c r="G966" s="170"/>
    </row>
    <row r="967">
      <c r="A967" s="170"/>
      <c r="B967" s="170"/>
      <c r="C967" s="170"/>
      <c r="D967" s="170"/>
      <c r="E967" s="170"/>
      <c r="F967" s="170"/>
      <c r="G967" s="170"/>
    </row>
    <row r="968">
      <c r="A968" s="170"/>
      <c r="B968" s="170"/>
      <c r="C968" s="170"/>
      <c r="D968" s="170"/>
      <c r="E968" s="170"/>
      <c r="F968" s="170"/>
      <c r="G968" s="170"/>
    </row>
    <row r="969">
      <c r="A969" s="170"/>
      <c r="B969" s="170"/>
      <c r="C969" s="170"/>
      <c r="D969" s="170"/>
      <c r="E969" s="170"/>
      <c r="F969" s="170"/>
      <c r="G969" s="170"/>
    </row>
    <row r="970">
      <c r="A970" s="170"/>
      <c r="B970" s="170"/>
      <c r="C970" s="170"/>
      <c r="D970" s="170"/>
      <c r="E970" s="170"/>
      <c r="F970" s="170"/>
      <c r="G970" s="170"/>
    </row>
    <row r="971">
      <c r="A971" s="170"/>
      <c r="B971" s="170"/>
      <c r="C971" s="170"/>
      <c r="D971" s="170"/>
      <c r="E971" s="170"/>
      <c r="F971" s="170"/>
      <c r="G971" s="170"/>
    </row>
    <row r="972">
      <c r="A972" s="170"/>
      <c r="B972" s="170"/>
      <c r="C972" s="170"/>
      <c r="D972" s="170"/>
      <c r="E972" s="170"/>
      <c r="F972" s="170"/>
      <c r="G972" s="170"/>
    </row>
    <row r="973">
      <c r="A973" s="170"/>
      <c r="B973" s="170"/>
      <c r="C973" s="170"/>
      <c r="D973" s="170"/>
      <c r="E973" s="170"/>
      <c r="F973" s="170"/>
      <c r="G973" s="170"/>
    </row>
    <row r="974">
      <c r="A974" s="170"/>
      <c r="B974" s="170"/>
      <c r="C974" s="170"/>
      <c r="D974" s="170"/>
      <c r="E974" s="170"/>
      <c r="F974" s="170"/>
      <c r="G974" s="170"/>
    </row>
    <row r="975">
      <c r="A975" s="170"/>
      <c r="B975" s="170"/>
      <c r="C975" s="170"/>
      <c r="D975" s="170"/>
      <c r="E975" s="170"/>
      <c r="F975" s="170"/>
      <c r="G975" s="170"/>
    </row>
    <row r="976">
      <c r="A976" s="170"/>
      <c r="B976" s="170"/>
      <c r="C976" s="170"/>
      <c r="D976" s="170"/>
      <c r="E976" s="170"/>
      <c r="F976" s="170"/>
      <c r="G976" s="170"/>
    </row>
    <row r="977">
      <c r="A977" s="170"/>
      <c r="B977" s="170"/>
      <c r="C977" s="170"/>
      <c r="D977" s="170"/>
      <c r="E977" s="170"/>
      <c r="F977" s="170"/>
      <c r="G977" s="170"/>
    </row>
    <row r="978">
      <c r="A978" s="170"/>
      <c r="B978" s="170"/>
      <c r="C978" s="170"/>
      <c r="D978" s="170"/>
      <c r="E978" s="170"/>
      <c r="F978" s="170"/>
      <c r="G978" s="170"/>
    </row>
    <row r="979">
      <c r="A979" s="170"/>
      <c r="B979" s="170"/>
      <c r="C979" s="170"/>
      <c r="D979" s="170"/>
      <c r="E979" s="170"/>
      <c r="F979" s="170"/>
      <c r="G979" s="170"/>
    </row>
    <row r="980">
      <c r="A980" s="170"/>
      <c r="B980" s="170"/>
      <c r="C980" s="170"/>
      <c r="D980" s="170"/>
      <c r="E980" s="170"/>
      <c r="F980" s="170"/>
      <c r="G980" s="170"/>
    </row>
    <row r="981">
      <c r="A981" s="170"/>
      <c r="B981" s="170"/>
      <c r="C981" s="170"/>
      <c r="D981" s="170"/>
      <c r="E981" s="170"/>
      <c r="F981" s="170"/>
      <c r="G981" s="170"/>
    </row>
    <row r="982">
      <c r="A982" s="170"/>
      <c r="B982" s="170"/>
      <c r="C982" s="170"/>
      <c r="D982" s="170"/>
      <c r="E982" s="170"/>
      <c r="F982" s="170"/>
      <c r="G982" s="170"/>
    </row>
    <row r="983">
      <c r="A983" s="170"/>
      <c r="B983" s="170"/>
      <c r="C983" s="170"/>
      <c r="D983" s="170"/>
      <c r="E983" s="170"/>
      <c r="F983" s="170"/>
      <c r="G983" s="170"/>
    </row>
    <row r="984">
      <c r="A984" s="170"/>
      <c r="B984" s="170"/>
      <c r="C984" s="170"/>
      <c r="D984" s="170"/>
      <c r="E984" s="170"/>
      <c r="F984" s="170"/>
      <c r="G984" s="170"/>
    </row>
    <row r="985">
      <c r="A985" s="170"/>
      <c r="B985" s="170"/>
      <c r="C985" s="170"/>
      <c r="D985" s="170"/>
      <c r="E985" s="170"/>
      <c r="F985" s="170"/>
      <c r="G985" s="170"/>
    </row>
    <row r="986">
      <c r="A986" s="170"/>
      <c r="B986" s="170"/>
      <c r="C986" s="170"/>
      <c r="D986" s="170"/>
      <c r="E986" s="170"/>
      <c r="F986" s="170"/>
      <c r="G986" s="170"/>
    </row>
    <row r="987">
      <c r="A987" s="170"/>
      <c r="B987" s="170"/>
      <c r="C987" s="170"/>
      <c r="D987" s="170"/>
      <c r="E987" s="170"/>
      <c r="F987" s="170"/>
      <c r="G987" s="170"/>
    </row>
    <row r="988">
      <c r="A988" s="170"/>
      <c r="B988" s="170"/>
      <c r="C988" s="170"/>
      <c r="D988" s="170"/>
      <c r="E988" s="170"/>
      <c r="F988" s="170"/>
      <c r="G988" s="170"/>
    </row>
    <row r="989">
      <c r="A989" s="170"/>
      <c r="B989" s="170"/>
      <c r="C989" s="170"/>
      <c r="D989" s="170"/>
      <c r="E989" s="170"/>
      <c r="F989" s="170"/>
      <c r="G989" s="170"/>
    </row>
    <row r="990">
      <c r="A990" s="170"/>
      <c r="B990" s="170"/>
      <c r="C990" s="170"/>
      <c r="D990" s="170"/>
      <c r="E990" s="170"/>
      <c r="F990" s="170"/>
      <c r="G990" s="170"/>
    </row>
    <row r="991">
      <c r="A991" s="170"/>
      <c r="B991" s="170"/>
      <c r="C991" s="170"/>
      <c r="D991" s="170"/>
      <c r="E991" s="170"/>
      <c r="F991" s="170"/>
      <c r="G991" s="170"/>
    </row>
    <row r="992">
      <c r="A992" s="170"/>
      <c r="B992" s="170"/>
      <c r="C992" s="170"/>
      <c r="D992" s="170"/>
      <c r="E992" s="170"/>
      <c r="F992" s="170"/>
      <c r="G992" s="170"/>
    </row>
    <row r="993">
      <c r="A993" s="170"/>
      <c r="B993" s="170"/>
      <c r="C993" s="170"/>
      <c r="D993" s="170"/>
      <c r="E993" s="170"/>
      <c r="F993" s="170"/>
      <c r="G993" s="170"/>
    </row>
    <row r="994">
      <c r="A994" s="170"/>
      <c r="B994" s="170"/>
      <c r="C994" s="170"/>
      <c r="D994" s="170"/>
      <c r="E994" s="170"/>
      <c r="F994" s="170"/>
      <c r="G994" s="170"/>
    </row>
    <row r="995">
      <c r="A995" s="170"/>
      <c r="B995" s="170"/>
      <c r="C995" s="170"/>
      <c r="D995" s="170"/>
      <c r="E995" s="170"/>
      <c r="F995" s="170"/>
      <c r="G995" s="170"/>
    </row>
    <row r="996">
      <c r="A996" s="170"/>
      <c r="B996" s="170"/>
      <c r="C996" s="170"/>
      <c r="D996" s="170"/>
      <c r="E996" s="170"/>
      <c r="F996" s="170"/>
      <c r="G996" s="170"/>
    </row>
    <row r="997">
      <c r="A997" s="170"/>
      <c r="B997" s="170"/>
      <c r="C997" s="170"/>
      <c r="D997" s="170"/>
      <c r="E997" s="170"/>
      <c r="F997" s="170"/>
      <c r="G997" s="170"/>
    </row>
    <row r="998">
      <c r="A998" s="170"/>
      <c r="B998" s="170"/>
      <c r="C998" s="170"/>
      <c r="D998" s="170"/>
      <c r="E998" s="170"/>
      <c r="F998" s="170"/>
      <c r="G998" s="170"/>
    </row>
    <row r="999">
      <c r="A999" s="170"/>
      <c r="B999" s="170"/>
      <c r="C999" s="170"/>
      <c r="D999" s="170"/>
      <c r="E999" s="170"/>
      <c r="F999" s="170"/>
      <c r="G999" s="170"/>
    </row>
    <row r="1000">
      <c r="A1000" s="170"/>
      <c r="B1000" s="170"/>
      <c r="C1000" s="170"/>
      <c r="D1000" s="170"/>
      <c r="E1000" s="170"/>
      <c r="F1000" s="170"/>
      <c r="G1000" s="170"/>
    </row>
    <row r="1001">
      <c r="A1001" s="170"/>
      <c r="B1001" s="170"/>
      <c r="C1001" s="170"/>
      <c r="D1001" s="170"/>
      <c r="E1001" s="170"/>
      <c r="F1001" s="170"/>
      <c r="G1001" s="170"/>
    </row>
    <row r="1002">
      <c r="A1002" s="170"/>
      <c r="B1002" s="170"/>
      <c r="C1002" s="170"/>
      <c r="D1002" s="170"/>
      <c r="E1002" s="170"/>
      <c r="F1002" s="170"/>
      <c r="G1002" s="170"/>
    </row>
    <row r="1003">
      <c r="A1003" s="170"/>
      <c r="B1003" s="170"/>
      <c r="C1003" s="170"/>
      <c r="D1003" s="170"/>
      <c r="E1003" s="170"/>
      <c r="F1003" s="170"/>
      <c r="G1003" s="170"/>
    </row>
    <row r="1004">
      <c r="A1004" s="170"/>
      <c r="B1004" s="170"/>
      <c r="C1004" s="170"/>
      <c r="D1004" s="170"/>
      <c r="E1004" s="170"/>
      <c r="F1004" s="170"/>
      <c r="G1004" s="170"/>
    </row>
    <row r="1005">
      <c r="A1005" s="170"/>
      <c r="B1005" s="170"/>
      <c r="C1005" s="170"/>
      <c r="D1005" s="170"/>
      <c r="E1005" s="170"/>
      <c r="F1005" s="170"/>
      <c r="G1005" s="170"/>
    </row>
    <row r="1006">
      <c r="A1006" s="170"/>
      <c r="B1006" s="170"/>
      <c r="C1006" s="170"/>
      <c r="D1006" s="170"/>
      <c r="E1006" s="170"/>
      <c r="F1006" s="170"/>
      <c r="G1006" s="170"/>
    </row>
    <row r="1007">
      <c r="A1007" s="170"/>
      <c r="B1007" s="170"/>
      <c r="C1007" s="170"/>
      <c r="D1007" s="170"/>
      <c r="E1007" s="170"/>
      <c r="F1007" s="170"/>
      <c r="G1007" s="170"/>
    </row>
    <row r="1008">
      <c r="A1008" s="170"/>
      <c r="B1008" s="170"/>
      <c r="C1008" s="170"/>
      <c r="D1008" s="170"/>
      <c r="E1008" s="170"/>
      <c r="F1008" s="170"/>
      <c r="G1008" s="170"/>
    </row>
    <row r="1009">
      <c r="A1009" s="170"/>
      <c r="B1009" s="170"/>
      <c r="C1009" s="170"/>
      <c r="D1009" s="170"/>
      <c r="E1009" s="170"/>
      <c r="F1009" s="170"/>
      <c r="G1009" s="170"/>
    </row>
    <row r="1010">
      <c r="A1010" s="170"/>
      <c r="B1010" s="170"/>
      <c r="C1010" s="170"/>
      <c r="D1010" s="170"/>
      <c r="E1010" s="170"/>
      <c r="F1010" s="170"/>
      <c r="G1010" s="170"/>
    </row>
    <row r="1011">
      <c r="A1011" s="170"/>
      <c r="B1011" s="170"/>
      <c r="C1011" s="170"/>
      <c r="D1011" s="170"/>
      <c r="E1011" s="170"/>
      <c r="F1011" s="170"/>
      <c r="G1011" s="170"/>
    </row>
    <row r="1012">
      <c r="A1012" s="170"/>
      <c r="B1012" s="170"/>
      <c r="C1012" s="170"/>
      <c r="D1012" s="170"/>
      <c r="E1012" s="170"/>
      <c r="F1012" s="170"/>
      <c r="G1012" s="170"/>
    </row>
    <row r="1013">
      <c r="A1013" s="170"/>
      <c r="B1013" s="170"/>
      <c r="C1013" s="170"/>
      <c r="D1013" s="170"/>
      <c r="E1013" s="170"/>
      <c r="F1013" s="170"/>
      <c r="G1013" s="170"/>
    </row>
    <row r="1014">
      <c r="A1014" s="170"/>
      <c r="B1014" s="170"/>
      <c r="C1014" s="170"/>
      <c r="D1014" s="170"/>
      <c r="E1014" s="170"/>
      <c r="F1014" s="170"/>
      <c r="G1014" s="170"/>
    </row>
    <row r="1015">
      <c r="A1015" s="170"/>
      <c r="B1015" s="170"/>
      <c r="C1015" s="170"/>
      <c r="D1015" s="170"/>
      <c r="E1015" s="170"/>
      <c r="F1015" s="170"/>
      <c r="G1015" s="170"/>
    </row>
    <row r="1016">
      <c r="A1016" s="170"/>
      <c r="B1016" s="170"/>
      <c r="C1016" s="170"/>
      <c r="D1016" s="170"/>
      <c r="E1016" s="170"/>
      <c r="F1016" s="170"/>
      <c r="G1016" s="170"/>
    </row>
    <row r="1017">
      <c r="A1017" s="170"/>
      <c r="B1017" s="170"/>
      <c r="C1017" s="170"/>
      <c r="D1017" s="170"/>
      <c r="E1017" s="170"/>
      <c r="F1017" s="170"/>
      <c r="G1017" s="170"/>
    </row>
    <row r="1018">
      <c r="A1018" s="170"/>
      <c r="B1018" s="170"/>
      <c r="C1018" s="170"/>
      <c r="D1018" s="170"/>
      <c r="E1018" s="170"/>
      <c r="F1018" s="170"/>
      <c r="G1018" s="170"/>
    </row>
    <row r="1019">
      <c r="A1019" s="170"/>
      <c r="B1019" s="170"/>
      <c r="C1019" s="170"/>
      <c r="D1019" s="170"/>
      <c r="E1019" s="170"/>
      <c r="F1019" s="170"/>
      <c r="G1019" s="170"/>
    </row>
    <row r="1020">
      <c r="A1020" s="170"/>
      <c r="B1020" s="170"/>
      <c r="C1020" s="170"/>
      <c r="D1020" s="170"/>
      <c r="E1020" s="170"/>
      <c r="F1020" s="170"/>
      <c r="G1020" s="170"/>
    </row>
    <row r="1021">
      <c r="A1021" s="170"/>
      <c r="B1021" s="170"/>
      <c r="C1021" s="170"/>
      <c r="D1021" s="170"/>
      <c r="E1021" s="170"/>
      <c r="F1021" s="170"/>
      <c r="G1021" s="170"/>
    </row>
  </sheetData>
  <mergeCells count="1">
    <mergeCell ref="B2:F2"/>
  </mergeCells>
  <dataValidations>
    <dataValidation type="list" allowBlank="1" showErrorMessage="1" sqref="C4:C45">
      <formula1>"Buddy,Hiring Manager,New Hire,PM Team,PM Team &amp; Buddy,HM and New Hire"</formula1>
    </dataValidation>
    <dataValidation type="list" allowBlank="1" showErrorMessage="1" sqref="F4:F45">
      <formula1>"Backlog,In Progress,Blocked,Completed,N/A"</formula1>
    </dataValidation>
  </dataValidations>
  <hyperlinks>
    <hyperlink r:id="rId1" ref="D5"/>
    <hyperlink r:id="rId2" ref="D6"/>
    <hyperlink r:id="rId3" ref="D7"/>
    <hyperlink r:id="rId4" ref="D9"/>
    <hyperlink r:id="rId5" ref="D10"/>
    <hyperlink r:id="rId6" ref="B11"/>
    <hyperlink r:id="rId7" location="slide=id.g27b04383fa0_0_373" ref="D11"/>
    <hyperlink r:id="rId8" ref="D12"/>
    <hyperlink r:id="rId9" ref="B14"/>
    <hyperlink r:id="rId10" ref="D14"/>
    <hyperlink r:id="rId11" ref="D15"/>
    <hyperlink r:id="rId12" ref="D16"/>
    <hyperlink r:id="rId13" ref="D20"/>
    <hyperlink r:id="rId14" ref="D22"/>
    <hyperlink r:id="rId15" ref="D23"/>
    <hyperlink r:id="rId16" ref="D24"/>
    <hyperlink r:id="rId17" ref="D25"/>
    <hyperlink r:id="rId18" ref="D27"/>
    <hyperlink r:id="rId19" ref="D30"/>
    <hyperlink r:id="rId20" ref="D31"/>
    <hyperlink r:id="rId21" ref="D32"/>
    <hyperlink r:id="rId22" ref="D33"/>
    <hyperlink r:id="rId23" ref="D34"/>
    <hyperlink r:id="rId24" ref="D35"/>
    <hyperlink r:id="rId25" location="/applications/taxonomy/executions" ref="D36"/>
    <hyperlink r:id="rId26" ref="D37"/>
    <hyperlink r:id="rId27" ref="D38"/>
    <hyperlink r:id="rId28" ref="D39"/>
    <hyperlink r:id="rId29" ref="D40"/>
    <hyperlink r:id="rId30" ref="D41"/>
    <hyperlink r:id="rId31" ref="D42"/>
    <hyperlink r:id="rId32" ref="D43"/>
    <hyperlink r:id="rId33" ref="D44"/>
    <hyperlink r:id="rId34" ref="D45"/>
    <hyperlink r:id="rId35" ref="D46"/>
    <hyperlink r:id="rId36" ref="C51"/>
    <hyperlink r:id="rId37" ref="D51"/>
    <hyperlink r:id="rId38" ref="C52"/>
  </hyperlinks>
  <drawing r:id="rId39"/>
  <tableParts count="1">
    <tablePart r:id="rId41"/>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4.0"/>
    <col customWidth="1" min="4" max="4" width="50.0"/>
    <col customWidth="1" min="5" max="5" width="145.0"/>
    <col customWidth="1" min="6" max="6" width="88.5"/>
    <col customWidth="1" min="7" max="7" width="93.75"/>
  </cols>
  <sheetData>
    <row r="1">
      <c r="A1" s="1"/>
      <c r="B1" s="1"/>
      <c r="C1" s="1"/>
      <c r="D1" s="1"/>
      <c r="E1" s="1"/>
      <c r="F1" s="3"/>
      <c r="G1" s="3"/>
    </row>
    <row r="2">
      <c r="A2" s="224" t="s">
        <v>268</v>
      </c>
      <c r="B2" s="224" t="s">
        <v>269</v>
      </c>
      <c r="C2" s="224" t="s">
        <v>270</v>
      </c>
      <c r="D2" s="225" t="s">
        <v>271</v>
      </c>
      <c r="E2" s="226" t="s">
        <v>272</v>
      </c>
      <c r="F2" s="227" t="s">
        <v>159</v>
      </c>
      <c r="G2" s="3"/>
    </row>
    <row r="3">
      <c r="A3" s="228" t="b">
        <v>1</v>
      </c>
      <c r="B3" s="228" t="b">
        <v>1</v>
      </c>
      <c r="C3" s="228" t="b">
        <v>0</v>
      </c>
      <c r="D3" s="229" t="s">
        <v>273</v>
      </c>
      <c r="E3" s="221" t="s">
        <v>274</v>
      </c>
      <c r="F3" s="230" t="s">
        <v>275</v>
      </c>
      <c r="G3" s="3"/>
    </row>
    <row r="4">
      <c r="A4" s="228" t="b">
        <v>1</v>
      </c>
      <c r="B4" s="228" t="b">
        <v>1</v>
      </c>
      <c r="C4" s="228" t="b">
        <v>0</v>
      </c>
      <c r="D4" s="231"/>
      <c r="E4" s="221" t="s">
        <v>276</v>
      </c>
      <c r="F4" s="230" t="s">
        <v>277</v>
      </c>
      <c r="G4" s="3"/>
    </row>
    <row r="5">
      <c r="A5" s="228" t="b">
        <v>1</v>
      </c>
      <c r="B5" s="228" t="b">
        <v>1</v>
      </c>
      <c r="C5" s="228" t="b">
        <v>0</v>
      </c>
      <c r="D5" s="231"/>
      <c r="E5" s="221" t="s">
        <v>278</v>
      </c>
      <c r="F5" s="230" t="s">
        <v>279</v>
      </c>
      <c r="G5" s="3"/>
    </row>
    <row r="6">
      <c r="A6" s="228" t="b">
        <v>1</v>
      </c>
      <c r="B6" s="228" t="b">
        <v>1</v>
      </c>
      <c r="C6" s="228" t="b">
        <v>0</v>
      </c>
      <c r="D6" s="232"/>
      <c r="E6" s="233" t="s">
        <v>280</v>
      </c>
      <c r="F6" s="230" t="s">
        <v>281</v>
      </c>
      <c r="G6" s="3"/>
    </row>
    <row r="7">
      <c r="A7" s="1" t="b">
        <v>1</v>
      </c>
      <c r="B7" s="1" t="b">
        <v>1</v>
      </c>
      <c r="C7" s="1" t="b">
        <v>0</v>
      </c>
      <c r="D7" s="234" t="s">
        <v>282</v>
      </c>
      <c r="E7" s="235" t="s">
        <v>283</v>
      </c>
      <c r="F7" s="236" t="s">
        <v>284</v>
      </c>
      <c r="G7" s="3"/>
    </row>
    <row r="8">
      <c r="A8" s="228" t="b">
        <v>1</v>
      </c>
      <c r="B8" s="228" t="b">
        <v>1</v>
      </c>
      <c r="C8" s="228" t="b">
        <v>0</v>
      </c>
      <c r="D8" s="231"/>
      <c r="E8" s="221" t="s">
        <v>285</v>
      </c>
      <c r="F8" s="230" t="s">
        <v>286</v>
      </c>
      <c r="G8" s="3"/>
    </row>
    <row r="9">
      <c r="A9" s="228" t="b">
        <v>1</v>
      </c>
      <c r="B9" s="228" t="b">
        <v>1</v>
      </c>
      <c r="C9" s="228" t="b">
        <v>0</v>
      </c>
      <c r="D9" s="231"/>
      <c r="E9" s="228"/>
      <c r="F9" s="230"/>
      <c r="G9" s="3"/>
    </row>
    <row r="10">
      <c r="A10" s="228" t="b">
        <v>1</v>
      </c>
      <c r="B10" s="228" t="b">
        <v>1</v>
      </c>
      <c r="C10" s="228" t="b">
        <v>0</v>
      </c>
      <c r="D10" s="231"/>
      <c r="E10" s="228"/>
      <c r="F10" s="230"/>
      <c r="G10" s="3"/>
    </row>
    <row r="11">
      <c r="A11" s="228" t="b">
        <v>1</v>
      </c>
      <c r="B11" s="228" t="b">
        <v>1</v>
      </c>
      <c r="C11" s="228" t="b">
        <v>0</v>
      </c>
      <c r="D11" s="237"/>
      <c r="E11" s="238"/>
      <c r="F11" s="239"/>
      <c r="G11" s="3"/>
    </row>
    <row r="12">
      <c r="A12" s="1" t="b">
        <v>1</v>
      </c>
      <c r="B12" s="1" t="b">
        <v>1</v>
      </c>
      <c r="C12" s="1" t="b">
        <v>0</v>
      </c>
      <c r="D12" s="240" t="s">
        <v>287</v>
      </c>
      <c r="E12" s="241" t="s">
        <v>288</v>
      </c>
      <c r="F12" s="242" t="s">
        <v>289</v>
      </c>
      <c r="G12" s="3"/>
    </row>
    <row r="13">
      <c r="A13" s="1" t="b">
        <v>1</v>
      </c>
      <c r="B13" s="1" t="b">
        <v>1</v>
      </c>
      <c r="C13" s="1" t="b">
        <v>0</v>
      </c>
      <c r="D13" s="231"/>
      <c r="E13" s="221" t="s">
        <v>185</v>
      </c>
      <c r="F13" s="230" t="s">
        <v>290</v>
      </c>
      <c r="G13" s="3"/>
    </row>
    <row r="14">
      <c r="A14" s="1" t="b">
        <v>1</v>
      </c>
      <c r="B14" s="1" t="b">
        <v>1</v>
      </c>
      <c r="C14" s="1" t="b">
        <v>0</v>
      </c>
      <c r="D14" s="231"/>
      <c r="E14" s="221" t="s">
        <v>291</v>
      </c>
      <c r="F14" s="230" t="s">
        <v>292</v>
      </c>
      <c r="G14" s="3"/>
    </row>
    <row r="15">
      <c r="A15" s="1" t="b">
        <v>1</v>
      </c>
      <c r="B15" s="1" t="b">
        <v>1</v>
      </c>
      <c r="C15" s="1" t="b">
        <v>0</v>
      </c>
      <c r="D15" s="231"/>
      <c r="E15" s="228"/>
      <c r="F15" s="230"/>
      <c r="G15" s="3"/>
    </row>
    <row r="16">
      <c r="A16" s="1" t="b">
        <v>1</v>
      </c>
      <c r="B16" s="1" t="b">
        <v>1</v>
      </c>
      <c r="C16" s="1" t="b">
        <v>0</v>
      </c>
      <c r="D16" s="232"/>
      <c r="E16" s="243" t="s">
        <v>293</v>
      </c>
      <c r="F16" s="244" t="s">
        <v>294</v>
      </c>
      <c r="G16" s="3"/>
    </row>
    <row r="17">
      <c r="A17" s="1"/>
      <c r="B17" s="1"/>
      <c r="C17" s="1"/>
      <c r="D17" s="1"/>
      <c r="E17" s="3"/>
      <c r="F17" s="3"/>
      <c r="G17" s="3"/>
    </row>
    <row r="18">
      <c r="A18" s="1"/>
      <c r="B18" s="1"/>
      <c r="C18" s="1"/>
      <c r="D18" s="245" t="s">
        <v>295</v>
      </c>
      <c r="E18" s="246" t="s">
        <v>159</v>
      </c>
      <c r="F18" s="3"/>
      <c r="G18" s="3"/>
    </row>
    <row r="19">
      <c r="A19" s="228" t="b">
        <v>1</v>
      </c>
      <c r="B19" s="228" t="b">
        <v>1</v>
      </c>
      <c r="C19" s="228" t="b">
        <v>0</v>
      </c>
      <c r="D19" s="247"/>
      <c r="E19" s="230"/>
      <c r="F19" s="248"/>
      <c r="G19" s="3"/>
    </row>
    <row r="20">
      <c r="A20" s="228" t="b">
        <v>1</v>
      </c>
      <c r="B20" s="228" t="b">
        <v>1</v>
      </c>
      <c r="C20" s="228" t="b">
        <v>0</v>
      </c>
      <c r="D20" s="247"/>
      <c r="E20" s="230"/>
      <c r="F20" s="248"/>
      <c r="G20" s="3"/>
    </row>
    <row r="21">
      <c r="A21" s="228" t="b">
        <v>1</v>
      </c>
      <c r="B21" s="228" t="b">
        <v>1</v>
      </c>
      <c r="C21" s="228" t="b">
        <v>0</v>
      </c>
      <c r="D21" s="247"/>
      <c r="E21" s="230"/>
      <c r="F21" s="248"/>
      <c r="G21" s="3"/>
    </row>
    <row r="22">
      <c r="A22" s="220" t="b">
        <v>1</v>
      </c>
      <c r="B22" s="220" t="b">
        <v>1</v>
      </c>
      <c r="C22" s="220" t="b">
        <v>0</v>
      </c>
      <c r="D22" s="247"/>
      <c r="E22" s="230"/>
      <c r="F22" s="248"/>
      <c r="G22" s="3"/>
    </row>
    <row r="23">
      <c r="A23" s="220" t="b">
        <v>1</v>
      </c>
      <c r="B23" s="220" t="b">
        <v>1</v>
      </c>
      <c r="C23" s="220" t="b">
        <v>0</v>
      </c>
      <c r="D23" s="249"/>
      <c r="E23" s="244"/>
      <c r="F23" s="248"/>
      <c r="G23" s="3"/>
    </row>
    <row r="24">
      <c r="A24" s="3"/>
      <c r="B24" s="3"/>
      <c r="C24" s="3"/>
      <c r="D24" s="3"/>
      <c r="E24" s="3"/>
      <c r="F24" s="3"/>
      <c r="G24" s="3"/>
    </row>
    <row r="25">
      <c r="A25" s="1"/>
      <c r="B25" s="1"/>
      <c r="C25" s="1"/>
      <c r="D25" s="250" t="s">
        <v>296</v>
      </c>
      <c r="E25" s="250" t="s">
        <v>159</v>
      </c>
      <c r="F25" s="3"/>
      <c r="G25" s="3"/>
    </row>
    <row r="26">
      <c r="A26" s="251"/>
      <c r="B26" s="251"/>
      <c r="C26" s="251"/>
      <c r="D26" s="252" t="s">
        <v>297</v>
      </c>
      <c r="E26" s="252" t="s">
        <v>298</v>
      </c>
    </row>
    <row r="27">
      <c r="A27" s="251"/>
      <c r="B27" s="251"/>
      <c r="C27" s="251"/>
      <c r="D27" s="252" t="s">
        <v>299</v>
      </c>
      <c r="E27" s="252" t="s">
        <v>300</v>
      </c>
    </row>
    <row r="28">
      <c r="A28" s="251"/>
      <c r="B28" s="251"/>
      <c r="C28" s="251"/>
      <c r="D28" s="252" t="s">
        <v>301</v>
      </c>
      <c r="E28" s="253" t="s">
        <v>302</v>
      </c>
    </row>
    <row r="29">
      <c r="A29" s="251"/>
      <c r="B29" s="251"/>
      <c r="C29" s="251"/>
      <c r="D29" s="252" t="s">
        <v>303</v>
      </c>
      <c r="E29" s="253" t="s">
        <v>304</v>
      </c>
    </row>
    <row r="30">
      <c r="A30" s="251"/>
      <c r="B30" s="251"/>
      <c r="C30" s="251"/>
      <c r="D30" s="252" t="s">
        <v>305</v>
      </c>
      <c r="E30" s="253" t="s">
        <v>306</v>
      </c>
    </row>
    <row r="31">
      <c r="A31" s="251"/>
      <c r="B31" s="251"/>
      <c r="C31" s="251"/>
      <c r="D31" s="252" t="s">
        <v>307</v>
      </c>
      <c r="E31" s="253" t="s">
        <v>308</v>
      </c>
    </row>
    <row r="32">
      <c r="A32" s="251"/>
      <c r="B32" s="251"/>
      <c r="C32" s="251"/>
      <c r="D32" s="252" t="s">
        <v>309</v>
      </c>
      <c r="E32" s="253" t="s">
        <v>310</v>
      </c>
    </row>
    <row r="33">
      <c r="A33" s="251"/>
      <c r="B33" s="251"/>
      <c r="C33" s="251"/>
      <c r="D33" s="252" t="s">
        <v>311</v>
      </c>
      <c r="E33" s="253" t="s">
        <v>312</v>
      </c>
    </row>
    <row r="34">
      <c r="A34" s="251"/>
      <c r="B34" s="251"/>
      <c r="C34" s="251"/>
      <c r="D34" s="252" t="s">
        <v>313</v>
      </c>
      <c r="E34" s="253" t="s">
        <v>314</v>
      </c>
    </row>
    <row r="35">
      <c r="A35" s="251"/>
      <c r="B35" s="251"/>
      <c r="C35" s="251"/>
      <c r="D35" s="254" t="s">
        <v>315</v>
      </c>
      <c r="E35" s="253" t="s">
        <v>316</v>
      </c>
    </row>
    <row r="36">
      <c r="A36" s="251"/>
      <c r="B36" s="251"/>
      <c r="C36" s="251"/>
      <c r="D36" s="255" t="s">
        <v>317</v>
      </c>
      <c r="E36" s="230" t="s">
        <v>318</v>
      </c>
    </row>
    <row r="37">
      <c r="A37" s="3"/>
      <c r="B37" s="3"/>
      <c r="C37" s="3"/>
      <c r="D37" s="256" t="s">
        <v>319</v>
      </c>
      <c r="E37" s="230" t="s">
        <v>320</v>
      </c>
    </row>
    <row r="38">
      <c r="A38" s="3"/>
      <c r="B38" s="3"/>
      <c r="C38" s="3"/>
      <c r="D38" s="256" t="s">
        <v>321</v>
      </c>
      <c r="E38" s="230" t="s">
        <v>322</v>
      </c>
    </row>
    <row r="39">
      <c r="A39" s="3"/>
      <c r="B39" s="3"/>
      <c r="C39" s="3"/>
      <c r="D39" s="256" t="s">
        <v>323</v>
      </c>
      <c r="E39" s="257"/>
    </row>
    <row r="40">
      <c r="A40" s="3"/>
      <c r="B40" s="3"/>
      <c r="C40" s="3"/>
      <c r="D40" s="256" t="s">
        <v>324</v>
      </c>
      <c r="E40" s="230" t="s">
        <v>325</v>
      </c>
    </row>
    <row r="41">
      <c r="A41" s="251"/>
      <c r="B41" s="251"/>
      <c r="C41" s="251"/>
      <c r="D41" s="256" t="s">
        <v>326</v>
      </c>
      <c r="E41" s="230" t="s">
        <v>327</v>
      </c>
    </row>
    <row r="42">
      <c r="A42" s="251"/>
      <c r="B42" s="251"/>
      <c r="C42" s="251"/>
      <c r="D42" s="256" t="s">
        <v>328</v>
      </c>
      <c r="E42" s="230" t="s">
        <v>329</v>
      </c>
    </row>
    <row r="43">
      <c r="A43" s="3"/>
      <c r="B43" s="3"/>
      <c r="C43" s="3"/>
      <c r="D43" s="256" t="s">
        <v>330</v>
      </c>
      <c r="E43" s="230" t="s">
        <v>331</v>
      </c>
    </row>
    <row r="44">
      <c r="A44" s="3"/>
      <c r="B44" s="3"/>
      <c r="C44" s="3"/>
      <c r="D44" s="256" t="s">
        <v>332</v>
      </c>
      <c r="E44" s="230" t="s">
        <v>333</v>
      </c>
    </row>
    <row r="45">
      <c r="A45" s="3"/>
      <c r="B45" s="3"/>
      <c r="C45" s="3"/>
      <c r="D45" s="256" t="s">
        <v>334</v>
      </c>
      <c r="E45" s="230" t="s">
        <v>335</v>
      </c>
    </row>
    <row r="46">
      <c r="A46" s="3"/>
      <c r="B46" s="3"/>
      <c r="C46" s="3"/>
      <c r="D46" s="256" t="s">
        <v>336</v>
      </c>
      <c r="E46" s="230" t="s">
        <v>337</v>
      </c>
    </row>
    <row r="47">
      <c r="A47" s="3"/>
      <c r="B47" s="3"/>
      <c r="C47" s="3"/>
      <c r="D47" s="256" t="s">
        <v>338</v>
      </c>
      <c r="E47" s="230" t="s">
        <v>339</v>
      </c>
    </row>
    <row r="48">
      <c r="A48" s="3"/>
      <c r="B48" s="3"/>
      <c r="C48" s="3"/>
      <c r="D48" s="256" t="s">
        <v>340</v>
      </c>
      <c r="E48" s="258" t="s">
        <v>341</v>
      </c>
    </row>
    <row r="49">
      <c r="A49" s="3"/>
      <c r="B49" s="3"/>
      <c r="C49" s="3"/>
      <c r="D49" s="256" t="s">
        <v>342</v>
      </c>
      <c r="E49" s="230" t="s">
        <v>343</v>
      </c>
    </row>
    <row r="50">
      <c r="A50" s="3"/>
      <c r="B50" s="3"/>
      <c r="C50" s="3"/>
      <c r="D50" s="256" t="s">
        <v>344</v>
      </c>
      <c r="E50" s="230" t="s">
        <v>345</v>
      </c>
      <c r="F50" s="220"/>
      <c r="G50" s="3"/>
    </row>
    <row r="51">
      <c r="A51" s="3"/>
      <c r="B51" s="3"/>
      <c r="C51" s="3"/>
      <c r="D51" s="256" t="s">
        <v>346</v>
      </c>
      <c r="E51" s="230" t="s">
        <v>347</v>
      </c>
      <c r="F51" s="220"/>
      <c r="G51" s="3"/>
    </row>
    <row r="52">
      <c r="A52" s="3"/>
      <c r="B52" s="3"/>
      <c r="C52" s="3"/>
      <c r="D52" s="256" t="s">
        <v>348</v>
      </c>
      <c r="E52" s="230" t="s">
        <v>349</v>
      </c>
      <c r="F52" s="220"/>
      <c r="G52" s="220"/>
    </row>
    <row r="53">
      <c r="A53" s="3"/>
      <c r="B53" s="3"/>
      <c r="C53" s="3"/>
      <c r="D53" s="256" t="s">
        <v>350</v>
      </c>
      <c r="E53" s="230" t="s">
        <v>351</v>
      </c>
      <c r="F53" s="3"/>
      <c r="G53" s="3"/>
    </row>
    <row r="54">
      <c r="A54" s="3"/>
      <c r="B54" s="3"/>
      <c r="C54" s="3"/>
      <c r="D54" s="256" t="s">
        <v>352</v>
      </c>
      <c r="E54" s="230" t="s">
        <v>353</v>
      </c>
      <c r="F54" s="3"/>
      <c r="G54" s="3"/>
    </row>
    <row r="55">
      <c r="A55" s="3"/>
      <c r="B55" s="3"/>
      <c r="C55" s="3"/>
      <c r="D55" s="256" t="s">
        <v>354</v>
      </c>
      <c r="E55" s="230" t="s">
        <v>355</v>
      </c>
      <c r="F55" s="3"/>
      <c r="G55" s="3"/>
    </row>
    <row r="56">
      <c r="A56" s="3"/>
      <c r="B56" s="3"/>
      <c r="C56" s="3"/>
      <c r="D56" s="256" t="s">
        <v>356</v>
      </c>
      <c r="E56" s="230" t="s">
        <v>357</v>
      </c>
      <c r="F56" s="3"/>
      <c r="G56" s="3"/>
    </row>
    <row r="57">
      <c r="A57" s="3"/>
      <c r="B57" s="3"/>
      <c r="C57" s="3"/>
      <c r="D57" s="256" t="s">
        <v>358</v>
      </c>
      <c r="E57" s="230" t="s">
        <v>359</v>
      </c>
      <c r="F57" s="3"/>
      <c r="G57" s="3"/>
    </row>
    <row r="58">
      <c r="A58" s="3"/>
      <c r="B58" s="3"/>
      <c r="C58" s="3"/>
      <c r="D58" s="256" t="s">
        <v>360</v>
      </c>
      <c r="E58" s="230" t="s">
        <v>361</v>
      </c>
      <c r="F58" s="3"/>
      <c r="G58" s="3"/>
    </row>
    <row r="59">
      <c r="A59" s="3"/>
      <c r="B59" s="3"/>
      <c r="C59" s="3"/>
      <c r="D59" s="256" t="s">
        <v>362</v>
      </c>
      <c r="E59" s="230" t="s">
        <v>363</v>
      </c>
      <c r="F59" s="3"/>
      <c r="G59" s="3"/>
    </row>
    <row r="60">
      <c r="A60" s="3"/>
      <c r="B60" s="3"/>
      <c r="C60" s="3"/>
      <c r="D60" s="256" t="s">
        <v>364</v>
      </c>
      <c r="E60" s="257"/>
      <c r="F60" s="3"/>
      <c r="G60" s="3"/>
    </row>
    <row r="61">
      <c r="A61" s="3"/>
      <c r="B61" s="3"/>
      <c r="C61" s="3"/>
      <c r="D61" s="259" t="s">
        <v>365</v>
      </c>
      <c r="E61" s="244" t="s">
        <v>366</v>
      </c>
      <c r="F61" s="3"/>
      <c r="G61" s="3"/>
    </row>
    <row r="62">
      <c r="A62" s="3"/>
      <c r="B62" s="3"/>
      <c r="C62" s="3"/>
      <c r="D62" s="260" t="s">
        <v>367</v>
      </c>
      <c r="E62" s="261"/>
      <c r="F62" s="3"/>
      <c r="G62" s="3"/>
    </row>
    <row r="63">
      <c r="A63" s="1"/>
      <c r="B63" s="1"/>
      <c r="C63" s="1"/>
      <c r="D63" s="262" t="s">
        <v>368</v>
      </c>
      <c r="E63" s="263" t="s">
        <v>369</v>
      </c>
      <c r="F63" s="3"/>
      <c r="G63" s="3"/>
    </row>
    <row r="64">
      <c r="A64" s="220"/>
      <c r="B64" s="220"/>
      <c r="C64" s="220"/>
      <c r="D64" s="264" t="s">
        <v>370</v>
      </c>
      <c r="E64" s="265" t="s">
        <v>371</v>
      </c>
      <c r="F64" s="3"/>
      <c r="G64" s="3"/>
    </row>
    <row r="65">
      <c r="A65" s="220"/>
      <c r="B65" s="220"/>
      <c r="C65" s="220"/>
      <c r="D65" s="264" t="s">
        <v>372</v>
      </c>
      <c r="E65" s="265" t="s">
        <v>373</v>
      </c>
      <c r="F65" s="3"/>
      <c r="G65" s="3"/>
    </row>
    <row r="66">
      <c r="A66" s="220"/>
      <c r="B66" s="220"/>
      <c r="C66" s="220"/>
      <c r="D66" s="262" t="s">
        <v>374</v>
      </c>
      <c r="E66" s="263" t="s">
        <v>375</v>
      </c>
      <c r="F66" s="3"/>
      <c r="G66" s="3"/>
    </row>
    <row r="67">
      <c r="A67" s="220"/>
      <c r="B67" s="220"/>
      <c r="C67" s="220"/>
      <c r="D67" s="262" t="s">
        <v>376</v>
      </c>
      <c r="E67" s="263" t="s">
        <v>377</v>
      </c>
      <c r="F67" s="3"/>
      <c r="G67" s="3"/>
    </row>
    <row r="68">
      <c r="A68" s="220"/>
      <c r="B68" s="220"/>
      <c r="C68" s="220"/>
      <c r="D68" s="262" t="s">
        <v>378</v>
      </c>
      <c r="E68" s="266" t="s">
        <v>379</v>
      </c>
      <c r="F68" s="3"/>
      <c r="G68" s="3"/>
    </row>
    <row r="69">
      <c r="A69" s="220"/>
      <c r="B69" s="220"/>
      <c r="C69" s="220"/>
      <c r="D69" s="262" t="s">
        <v>380</v>
      </c>
      <c r="E69" s="267" t="s">
        <v>381</v>
      </c>
      <c r="F69" s="3"/>
      <c r="G69" s="3"/>
    </row>
    <row r="70">
      <c r="A70" s="220"/>
      <c r="B70" s="220"/>
      <c r="C70" s="220"/>
      <c r="D70" s="262" t="s">
        <v>382</v>
      </c>
      <c r="E70" s="263" t="s">
        <v>383</v>
      </c>
      <c r="F70" s="3"/>
      <c r="G70" s="3"/>
    </row>
    <row r="71">
      <c r="A71" s="220"/>
      <c r="B71" s="220"/>
      <c r="C71" s="220"/>
      <c r="D71" s="262" t="s">
        <v>384</v>
      </c>
      <c r="E71" s="263" t="s">
        <v>385</v>
      </c>
      <c r="F71" s="3"/>
      <c r="G71" s="3"/>
    </row>
    <row r="72">
      <c r="A72" s="3"/>
      <c r="B72" s="3"/>
      <c r="C72" s="3"/>
      <c r="D72" s="262" t="s">
        <v>386</v>
      </c>
      <c r="E72" s="263" t="s">
        <v>387</v>
      </c>
      <c r="F72" s="3"/>
      <c r="G72" s="3"/>
    </row>
    <row r="73">
      <c r="A73" s="3"/>
      <c r="B73" s="3"/>
      <c r="C73" s="3"/>
      <c r="D73" s="262" t="s">
        <v>388</v>
      </c>
      <c r="E73" s="263" t="s">
        <v>389</v>
      </c>
      <c r="F73" s="3"/>
      <c r="G73" s="3"/>
    </row>
    <row r="74">
      <c r="A74" s="3"/>
      <c r="B74" s="3"/>
      <c r="C74" s="3"/>
      <c r="D74" s="262" t="s">
        <v>390</v>
      </c>
      <c r="E74" s="263" t="s">
        <v>391</v>
      </c>
      <c r="F74" s="1"/>
      <c r="G74" s="3"/>
    </row>
    <row r="75">
      <c r="A75" s="220"/>
      <c r="B75" s="220"/>
      <c r="C75" s="220"/>
      <c r="D75" s="262" t="s">
        <v>392</v>
      </c>
      <c r="E75" s="263" t="s">
        <v>393</v>
      </c>
      <c r="F75" s="220"/>
      <c r="G75" s="3"/>
    </row>
    <row r="76">
      <c r="A76" s="3"/>
      <c r="B76" s="3"/>
      <c r="C76" s="3"/>
      <c r="D76" s="262" t="s">
        <v>394</v>
      </c>
      <c r="E76" s="263" t="s">
        <v>395</v>
      </c>
      <c r="F76" s="220"/>
      <c r="G76" s="3"/>
    </row>
    <row r="77">
      <c r="A77" s="3"/>
      <c r="B77" s="3"/>
      <c r="C77" s="3"/>
      <c r="D77" s="268" t="s">
        <v>396</v>
      </c>
      <c r="E77" s="269" t="s">
        <v>397</v>
      </c>
      <c r="F77" s="270"/>
      <c r="G77" s="3"/>
    </row>
    <row r="78">
      <c r="A78" s="3"/>
      <c r="B78" s="3"/>
      <c r="C78" s="3"/>
      <c r="D78" s="268" t="s">
        <v>398</v>
      </c>
      <c r="E78" s="269" t="s">
        <v>399</v>
      </c>
      <c r="F78" s="220"/>
      <c r="G78" s="3"/>
    </row>
    <row r="79">
      <c r="A79" s="3"/>
      <c r="B79" s="3"/>
      <c r="C79" s="3"/>
      <c r="D79" s="271" t="s">
        <v>400</v>
      </c>
      <c r="E79" s="272" t="s">
        <v>401</v>
      </c>
      <c r="F79" s="220"/>
      <c r="G79" s="3"/>
    </row>
    <row r="80">
      <c r="A80" s="3"/>
      <c r="B80" s="3"/>
      <c r="C80" s="3"/>
      <c r="D80" s="273" t="s">
        <v>402</v>
      </c>
      <c r="E80" s="273" t="s">
        <v>159</v>
      </c>
      <c r="F80" s="3"/>
      <c r="G80" s="3"/>
    </row>
    <row r="81">
      <c r="A81" s="3"/>
      <c r="B81" s="3"/>
      <c r="C81" s="3"/>
      <c r="D81" s="265" t="s">
        <v>403</v>
      </c>
      <c r="E81" s="274" t="s">
        <v>404</v>
      </c>
      <c r="F81" s="3"/>
      <c r="G81" s="3"/>
    </row>
    <row r="82">
      <c r="A82" s="3"/>
      <c r="B82" s="3"/>
      <c r="C82" s="3"/>
      <c r="D82" s="265" t="s">
        <v>405</v>
      </c>
      <c r="E82" s="265" t="s">
        <v>406</v>
      </c>
      <c r="F82" s="3"/>
      <c r="G82" s="3"/>
    </row>
    <row r="83">
      <c r="A83" s="3"/>
      <c r="B83" s="3"/>
      <c r="C83" s="3"/>
      <c r="D83" s="265" t="s">
        <v>407</v>
      </c>
      <c r="E83" s="274" t="s">
        <v>408</v>
      </c>
      <c r="F83" s="3"/>
      <c r="G83" s="3"/>
    </row>
    <row r="84">
      <c r="A84" s="3"/>
      <c r="B84" s="3"/>
      <c r="C84" s="3"/>
      <c r="D84" s="265" t="s">
        <v>409</v>
      </c>
      <c r="E84" s="274" t="s">
        <v>410</v>
      </c>
      <c r="F84" s="3"/>
      <c r="G84" s="3"/>
    </row>
    <row r="85">
      <c r="A85" s="3"/>
      <c r="B85" s="3"/>
      <c r="C85" s="3"/>
      <c r="D85" s="265" t="s">
        <v>411</v>
      </c>
      <c r="E85" s="275" t="s">
        <v>412</v>
      </c>
      <c r="F85" s="3"/>
      <c r="G85" s="3"/>
    </row>
    <row r="86">
      <c r="A86" s="3"/>
      <c r="B86" s="3"/>
      <c r="C86" s="3"/>
      <c r="D86" s="265" t="s">
        <v>413</v>
      </c>
      <c r="E86" s="265" t="s">
        <v>414</v>
      </c>
      <c r="F86" s="3"/>
      <c r="G86" s="3"/>
    </row>
    <row r="87">
      <c r="A87" s="3"/>
      <c r="B87" s="3"/>
      <c r="C87" s="3"/>
      <c r="D87" s="265" t="s">
        <v>415</v>
      </c>
      <c r="E87" s="265" t="s">
        <v>414</v>
      </c>
      <c r="F87" s="3"/>
      <c r="G87" s="3"/>
    </row>
    <row r="88">
      <c r="A88" s="3"/>
      <c r="B88" s="3"/>
      <c r="C88" s="3"/>
      <c r="D88" s="276" t="s">
        <v>416</v>
      </c>
      <c r="E88" s="276" t="s">
        <v>417</v>
      </c>
      <c r="F88" s="3"/>
      <c r="G88" s="3"/>
    </row>
    <row r="89">
      <c r="A89" s="3"/>
      <c r="B89" s="3"/>
      <c r="C89" s="3"/>
      <c r="D89" s="277"/>
      <c r="E89" s="277"/>
      <c r="F89" s="3"/>
      <c r="G89" s="3"/>
    </row>
    <row r="90">
      <c r="A90" s="3"/>
      <c r="B90" s="3"/>
      <c r="C90" s="3"/>
      <c r="D90" s="277"/>
      <c r="E90" s="277"/>
      <c r="F90" s="3"/>
      <c r="G90" s="3"/>
    </row>
    <row r="91">
      <c r="A91" s="3"/>
      <c r="B91" s="3"/>
      <c r="C91" s="3"/>
      <c r="D91" s="278" t="s">
        <v>418</v>
      </c>
      <c r="E91" s="277"/>
      <c r="F91" s="3"/>
      <c r="G91" s="3"/>
    </row>
    <row r="92">
      <c r="A92" s="3"/>
      <c r="B92" s="3"/>
      <c r="C92" s="3"/>
      <c r="D92" s="278" t="s">
        <v>419</v>
      </c>
      <c r="E92" s="277"/>
      <c r="F92" s="3"/>
      <c r="G92" s="3"/>
    </row>
    <row r="93">
      <c r="A93" s="3"/>
      <c r="B93" s="3"/>
      <c r="C93" s="3"/>
      <c r="D93" s="278" t="s">
        <v>420</v>
      </c>
      <c r="E93" s="277"/>
      <c r="F93" s="3"/>
      <c r="G93" s="3"/>
    </row>
    <row r="94">
      <c r="A94" s="3"/>
      <c r="B94" s="3"/>
      <c r="C94" s="3"/>
      <c r="D94" s="278" t="s">
        <v>421</v>
      </c>
      <c r="E94" s="277"/>
      <c r="F94" s="3"/>
      <c r="G94" s="3"/>
    </row>
    <row r="95">
      <c r="A95" s="3"/>
      <c r="B95" s="3"/>
      <c r="C95" s="3"/>
      <c r="D95" s="278" t="s">
        <v>421</v>
      </c>
      <c r="E95" s="277"/>
      <c r="F95" s="3"/>
      <c r="G95" s="3"/>
    </row>
    <row r="96">
      <c r="A96" s="3"/>
      <c r="B96" s="3"/>
      <c r="C96" s="3"/>
      <c r="D96" s="277"/>
      <c r="E96" s="277"/>
      <c r="F96" s="3"/>
      <c r="G96" s="3"/>
    </row>
    <row r="97">
      <c r="A97" s="3"/>
      <c r="B97" s="3"/>
      <c r="C97" s="3"/>
      <c r="D97" s="278" t="s">
        <v>422</v>
      </c>
      <c r="E97" s="277"/>
      <c r="F97" s="3"/>
      <c r="G97" s="3"/>
    </row>
    <row r="98">
      <c r="A98" s="3"/>
      <c r="B98" s="3"/>
      <c r="C98" s="3"/>
      <c r="D98" s="277"/>
      <c r="E98" s="277"/>
      <c r="F98" s="3"/>
      <c r="G98" s="3"/>
    </row>
    <row r="99">
      <c r="A99" s="3"/>
      <c r="B99" s="3"/>
      <c r="C99" s="3"/>
      <c r="D99" s="278" t="s">
        <v>423</v>
      </c>
      <c r="E99" s="277"/>
      <c r="F99" s="3"/>
      <c r="G99" s="3"/>
    </row>
    <row r="100">
      <c r="A100" s="3"/>
      <c r="B100" s="3"/>
      <c r="C100" s="3"/>
      <c r="D100" s="278" t="s">
        <v>424</v>
      </c>
      <c r="E100" s="277"/>
      <c r="F100" s="3"/>
      <c r="G100" s="3"/>
    </row>
    <row r="101">
      <c r="A101" s="3"/>
      <c r="B101" s="3"/>
      <c r="C101" s="3"/>
      <c r="D101" s="278" t="s">
        <v>425</v>
      </c>
      <c r="E101" s="277"/>
      <c r="F101" s="3"/>
      <c r="G101" s="3"/>
    </row>
    <row r="102">
      <c r="A102" s="3"/>
      <c r="B102" s="3"/>
      <c r="C102" s="3"/>
      <c r="D102" s="278" t="s">
        <v>426</v>
      </c>
      <c r="E102" s="277"/>
      <c r="F102" s="3"/>
      <c r="G102" s="3"/>
    </row>
    <row r="103">
      <c r="A103" s="3"/>
      <c r="B103" s="3"/>
      <c r="C103" s="3"/>
      <c r="D103" s="278" t="s">
        <v>425</v>
      </c>
      <c r="E103" s="277"/>
      <c r="F103" s="3"/>
      <c r="G103" s="3"/>
    </row>
    <row r="104">
      <c r="A104" s="3"/>
      <c r="B104" s="3"/>
      <c r="C104" s="3"/>
      <c r="D104" s="277"/>
      <c r="E104" s="277"/>
      <c r="F104" s="3"/>
      <c r="G104" s="3"/>
    </row>
    <row r="105">
      <c r="A105" s="3"/>
      <c r="B105" s="3"/>
      <c r="C105" s="3"/>
      <c r="D105" s="278" t="s">
        <v>427</v>
      </c>
      <c r="E105" s="277"/>
      <c r="F105" s="3"/>
      <c r="G105" s="3"/>
    </row>
    <row r="106">
      <c r="A106" s="3"/>
      <c r="B106" s="3"/>
      <c r="C106" s="3"/>
      <c r="D106" s="278" t="s">
        <v>428</v>
      </c>
      <c r="E106" s="277"/>
      <c r="F106" s="3"/>
      <c r="G106" s="3"/>
    </row>
    <row r="107">
      <c r="A107" s="3"/>
      <c r="B107" s="3"/>
      <c r="C107" s="3"/>
      <c r="D107" s="278" t="s">
        <v>429</v>
      </c>
      <c r="E107" s="277"/>
      <c r="F107" s="3"/>
      <c r="G107" s="3"/>
    </row>
    <row r="108">
      <c r="A108" s="3"/>
      <c r="B108" s="3"/>
      <c r="C108" s="3"/>
      <c r="D108" s="279"/>
      <c r="E108" s="277"/>
      <c r="F108" s="3"/>
      <c r="G108" s="3"/>
    </row>
    <row r="109">
      <c r="A109" s="3"/>
      <c r="B109" s="3"/>
      <c r="C109" s="3"/>
      <c r="D109" s="280" t="s">
        <v>430</v>
      </c>
      <c r="E109" s="279"/>
      <c r="F109" s="3"/>
      <c r="G109" s="3"/>
    </row>
    <row r="110">
      <c r="A110" s="3"/>
      <c r="B110" s="3"/>
      <c r="C110" s="3"/>
      <c r="D110" s="280" t="s">
        <v>431</v>
      </c>
      <c r="E110" s="279"/>
      <c r="F110" s="3"/>
      <c r="G110" s="3"/>
    </row>
    <row r="111">
      <c r="A111" s="3"/>
      <c r="B111" s="3"/>
      <c r="C111" s="3"/>
      <c r="D111" s="252" t="s">
        <v>372</v>
      </c>
      <c r="E111" s="253" t="s">
        <v>373</v>
      </c>
      <c r="F111" s="3"/>
      <c r="G111" s="3"/>
    </row>
    <row r="112">
      <c r="A112" s="3"/>
      <c r="B112" s="3"/>
      <c r="C112" s="3"/>
      <c r="D112" s="254" t="s">
        <v>374</v>
      </c>
      <c r="E112" s="281" t="s">
        <v>375</v>
      </c>
      <c r="F112" s="3"/>
      <c r="G112" s="3"/>
    </row>
    <row r="113">
      <c r="A113" s="3"/>
      <c r="B113" s="3"/>
      <c r="C113" s="3"/>
      <c r="D113" s="254" t="s">
        <v>376</v>
      </c>
      <c r="E113" s="281" t="s">
        <v>377</v>
      </c>
      <c r="F113" s="3"/>
      <c r="G113" s="3"/>
    </row>
    <row r="114">
      <c r="A114" s="3"/>
      <c r="B114" s="3"/>
      <c r="C114" s="3"/>
      <c r="D114" s="254" t="s">
        <v>378</v>
      </c>
      <c r="E114" s="282" t="s">
        <v>379</v>
      </c>
      <c r="F114" s="3"/>
      <c r="G114" s="3"/>
    </row>
    <row r="115">
      <c r="A115" s="3"/>
      <c r="B115" s="3"/>
      <c r="C115" s="3"/>
      <c r="D115" s="254" t="s">
        <v>380</v>
      </c>
      <c r="E115" s="283" t="s">
        <v>432</v>
      </c>
      <c r="F115" s="3"/>
      <c r="G115" s="3"/>
    </row>
    <row r="116">
      <c r="A116" s="3"/>
      <c r="B116" s="3"/>
      <c r="C116" s="3"/>
      <c r="D116" s="254" t="s">
        <v>382</v>
      </c>
      <c r="E116" s="281" t="s">
        <v>383</v>
      </c>
      <c r="F116" s="3"/>
      <c r="G116" s="3"/>
    </row>
    <row r="117">
      <c r="A117" s="3"/>
      <c r="B117" s="3"/>
      <c r="C117" s="3"/>
      <c r="D117" s="254" t="s">
        <v>384</v>
      </c>
      <c r="E117" s="281" t="s">
        <v>385</v>
      </c>
      <c r="F117" s="3"/>
      <c r="G117" s="3"/>
    </row>
    <row r="118">
      <c r="A118" s="3"/>
      <c r="B118" s="3"/>
      <c r="C118" s="3"/>
      <c r="D118" s="254" t="s">
        <v>386</v>
      </c>
      <c r="E118" s="281" t="s">
        <v>387</v>
      </c>
      <c r="F118" s="3"/>
      <c r="G118" s="3"/>
    </row>
    <row r="119">
      <c r="A119" s="3"/>
      <c r="B119" s="3"/>
      <c r="C119" s="3"/>
      <c r="D119" s="254" t="s">
        <v>388</v>
      </c>
      <c r="E119" s="281" t="s">
        <v>389</v>
      </c>
      <c r="F119" s="3"/>
      <c r="G119" s="3"/>
    </row>
    <row r="120">
      <c r="A120" s="3"/>
      <c r="B120" s="3"/>
      <c r="C120" s="3"/>
      <c r="D120" s="254" t="s">
        <v>390</v>
      </c>
      <c r="E120" s="281" t="s">
        <v>391</v>
      </c>
      <c r="F120" s="3"/>
      <c r="G120" s="3"/>
    </row>
    <row r="121">
      <c r="A121" s="3"/>
      <c r="B121" s="3"/>
      <c r="C121" s="3"/>
      <c r="D121" s="254" t="s">
        <v>392</v>
      </c>
      <c r="E121" s="281" t="s">
        <v>393</v>
      </c>
      <c r="F121" s="3"/>
      <c r="G121" s="3"/>
    </row>
    <row r="122">
      <c r="A122" s="3"/>
      <c r="B122" s="3"/>
      <c r="C122" s="3"/>
      <c r="D122" s="254" t="s">
        <v>394</v>
      </c>
      <c r="E122" s="281" t="s">
        <v>395</v>
      </c>
      <c r="F122" s="3"/>
      <c r="G122" s="3"/>
    </row>
    <row r="123">
      <c r="A123" s="3"/>
      <c r="B123" s="3"/>
      <c r="C123" s="3"/>
      <c r="D123" s="256" t="s">
        <v>396</v>
      </c>
      <c r="E123" s="230" t="s">
        <v>397</v>
      </c>
      <c r="F123" s="3"/>
      <c r="G123" s="3"/>
    </row>
    <row r="124">
      <c r="A124" s="3"/>
      <c r="B124" s="3"/>
      <c r="C124" s="3"/>
      <c r="D124" s="256" t="s">
        <v>398</v>
      </c>
      <c r="E124" s="230" t="s">
        <v>399</v>
      </c>
      <c r="F124" s="3"/>
      <c r="G124" s="3"/>
    </row>
    <row r="125">
      <c r="A125" s="3"/>
      <c r="B125" s="3"/>
      <c r="C125" s="3"/>
      <c r="D125" s="259" t="s">
        <v>400</v>
      </c>
      <c r="E125" s="244" t="s">
        <v>401</v>
      </c>
      <c r="F125" s="3"/>
      <c r="G125" s="3"/>
    </row>
    <row r="126">
      <c r="A126" s="3"/>
      <c r="B126" s="3"/>
      <c r="C126" s="3"/>
      <c r="D126" s="284" t="s">
        <v>402</v>
      </c>
      <c r="E126" s="284" t="s">
        <v>159</v>
      </c>
      <c r="F126" s="3"/>
      <c r="G126" s="3"/>
    </row>
    <row r="127">
      <c r="A127" s="3"/>
      <c r="B127" s="3"/>
      <c r="C127" s="3"/>
      <c r="D127" s="253" t="s">
        <v>403</v>
      </c>
      <c r="E127" s="285" t="s">
        <v>404</v>
      </c>
      <c r="F127" s="3"/>
      <c r="G127" s="3"/>
    </row>
    <row r="128">
      <c r="A128" s="3"/>
      <c r="B128" s="3"/>
      <c r="C128" s="3"/>
      <c r="D128" s="253" t="s">
        <v>405</v>
      </c>
      <c r="E128" s="253" t="s">
        <v>406</v>
      </c>
      <c r="F128" s="3"/>
      <c r="G128" s="3"/>
    </row>
    <row r="129">
      <c r="A129" s="3"/>
      <c r="B129" s="3"/>
      <c r="C129" s="3"/>
      <c r="D129" s="253" t="s">
        <v>407</v>
      </c>
      <c r="E129" s="285" t="s">
        <v>408</v>
      </c>
      <c r="F129" s="3"/>
      <c r="G129" s="3"/>
    </row>
    <row r="130">
      <c r="A130" s="3"/>
      <c r="B130" s="3"/>
      <c r="C130" s="3"/>
      <c r="D130" s="253" t="s">
        <v>409</v>
      </c>
      <c r="E130" s="285" t="s">
        <v>410</v>
      </c>
      <c r="F130" s="3"/>
      <c r="G130" s="3"/>
    </row>
    <row r="131">
      <c r="A131" s="3"/>
      <c r="B131" s="3"/>
      <c r="C131" s="3"/>
      <c r="D131" s="253" t="s">
        <v>411</v>
      </c>
      <c r="E131" s="286" t="s">
        <v>412</v>
      </c>
      <c r="F131" s="3"/>
      <c r="G131" s="3"/>
    </row>
    <row r="132">
      <c r="A132" s="3"/>
      <c r="B132" s="3"/>
      <c r="C132" s="3"/>
      <c r="D132" s="253" t="s">
        <v>413</v>
      </c>
      <c r="E132" s="253" t="s">
        <v>414</v>
      </c>
      <c r="F132" s="3"/>
      <c r="G132" s="3"/>
    </row>
    <row r="133">
      <c r="A133" s="3"/>
      <c r="B133" s="3"/>
      <c r="C133" s="3"/>
      <c r="D133" s="253" t="s">
        <v>415</v>
      </c>
      <c r="E133" s="253" t="s">
        <v>414</v>
      </c>
      <c r="F133" s="3"/>
      <c r="G133" s="3"/>
    </row>
    <row r="134">
      <c r="A134" s="3"/>
      <c r="B134" s="3"/>
      <c r="C134" s="3"/>
      <c r="D134" s="287" t="s">
        <v>416</v>
      </c>
      <c r="E134" s="287" t="s">
        <v>417</v>
      </c>
      <c r="F134" s="3"/>
      <c r="G134" s="3"/>
    </row>
    <row r="135">
      <c r="A135" s="3"/>
      <c r="B135" s="3"/>
      <c r="C135" s="3"/>
      <c r="D135" s="3"/>
      <c r="E135" s="3"/>
      <c r="F135" s="3"/>
      <c r="G135" s="3"/>
    </row>
    <row r="136">
      <c r="A136" s="3"/>
      <c r="B136" s="3"/>
      <c r="C136" s="3"/>
      <c r="D136" s="3"/>
      <c r="E136" s="3"/>
      <c r="F136" s="3"/>
      <c r="G136" s="3"/>
    </row>
    <row r="137">
      <c r="A137" s="3"/>
      <c r="B137" s="3"/>
      <c r="C137" s="3"/>
      <c r="D137" s="220" t="s">
        <v>418</v>
      </c>
      <c r="E137" s="1"/>
      <c r="F137" s="3"/>
      <c r="G137" s="3"/>
    </row>
    <row r="138">
      <c r="A138" s="3"/>
      <c r="B138" s="3"/>
      <c r="C138" s="3"/>
      <c r="D138" s="220" t="s">
        <v>419</v>
      </c>
      <c r="E138" s="220"/>
      <c r="F138" s="3"/>
      <c r="G138" s="3"/>
    </row>
    <row r="139">
      <c r="A139" s="3"/>
      <c r="B139" s="3"/>
      <c r="C139" s="3"/>
      <c r="D139" s="220" t="s">
        <v>420</v>
      </c>
      <c r="E139" s="220"/>
      <c r="F139" s="3"/>
      <c r="G139" s="3"/>
    </row>
    <row r="140">
      <c r="A140" s="3"/>
      <c r="B140" s="3"/>
      <c r="C140" s="3"/>
      <c r="D140" s="220" t="s">
        <v>421</v>
      </c>
      <c r="E140" s="220"/>
      <c r="F140" s="3"/>
      <c r="G140" s="3"/>
    </row>
    <row r="141">
      <c r="A141" s="3"/>
      <c r="B141" s="3"/>
      <c r="C141" s="3"/>
      <c r="D141" s="220" t="s">
        <v>421</v>
      </c>
      <c r="E141" s="220"/>
      <c r="F141" s="3"/>
      <c r="G141" s="3"/>
    </row>
    <row r="142">
      <c r="A142" s="3"/>
      <c r="B142" s="3"/>
      <c r="C142" s="3"/>
      <c r="D142" s="220"/>
      <c r="E142" s="220"/>
      <c r="F142" s="3"/>
      <c r="G142" s="3"/>
    </row>
    <row r="143">
      <c r="A143" s="3"/>
      <c r="B143" s="3"/>
      <c r="C143" s="3"/>
      <c r="D143" s="220" t="s">
        <v>422</v>
      </c>
      <c r="E143" s="3"/>
      <c r="F143" s="3"/>
      <c r="G143" s="3"/>
    </row>
    <row r="144">
      <c r="A144" s="3"/>
      <c r="B144" s="3"/>
      <c r="C144" s="3"/>
      <c r="D144" s="220"/>
      <c r="E144" s="3"/>
      <c r="F144" s="3"/>
      <c r="G144" s="3"/>
    </row>
    <row r="145">
      <c r="A145" s="3"/>
      <c r="B145" s="3"/>
      <c r="C145" s="3"/>
      <c r="D145" s="220" t="s">
        <v>423</v>
      </c>
      <c r="E145" s="3"/>
      <c r="F145" s="3"/>
      <c r="G145" s="3"/>
    </row>
    <row r="146">
      <c r="A146" s="3"/>
      <c r="B146" s="3"/>
      <c r="C146" s="3"/>
      <c r="D146" s="220" t="s">
        <v>424</v>
      </c>
      <c r="E146" s="3"/>
      <c r="F146" s="3"/>
      <c r="G146" s="3"/>
    </row>
    <row r="147">
      <c r="A147" s="3"/>
      <c r="B147" s="3"/>
      <c r="C147" s="3"/>
      <c r="D147" s="220" t="s">
        <v>425</v>
      </c>
      <c r="E147" s="3"/>
      <c r="F147" s="3"/>
      <c r="G147" s="3"/>
    </row>
    <row r="148">
      <c r="A148" s="3"/>
      <c r="B148" s="3"/>
      <c r="C148" s="3"/>
      <c r="D148" s="220" t="s">
        <v>426</v>
      </c>
      <c r="E148" s="3"/>
      <c r="F148" s="3"/>
      <c r="G148" s="3"/>
    </row>
    <row r="149">
      <c r="A149" s="3"/>
      <c r="B149" s="3"/>
      <c r="C149" s="3"/>
      <c r="D149" s="220" t="s">
        <v>425</v>
      </c>
      <c r="E149" s="3"/>
      <c r="F149" s="3"/>
      <c r="G149" s="3"/>
    </row>
    <row r="150">
      <c r="A150" s="3"/>
      <c r="B150" s="3"/>
      <c r="C150" s="3"/>
      <c r="D150" s="3"/>
      <c r="E150" s="3"/>
      <c r="F150" s="3"/>
      <c r="G150" s="3"/>
    </row>
    <row r="151">
      <c r="A151" s="3"/>
      <c r="B151" s="3"/>
      <c r="C151" s="3"/>
      <c r="D151" s="220" t="s">
        <v>427</v>
      </c>
      <c r="E151" s="3"/>
      <c r="F151" s="3"/>
      <c r="G151" s="3"/>
    </row>
    <row r="152">
      <c r="A152" s="3"/>
      <c r="B152" s="3"/>
      <c r="C152" s="3"/>
      <c r="D152" s="220" t="s">
        <v>428</v>
      </c>
      <c r="E152" s="3"/>
      <c r="F152" s="3"/>
      <c r="G152" s="3"/>
    </row>
    <row r="153">
      <c r="A153" s="3"/>
      <c r="B153" s="3"/>
      <c r="C153" s="3"/>
      <c r="D153" s="220" t="s">
        <v>429</v>
      </c>
      <c r="E153" s="3"/>
      <c r="F153" s="3"/>
      <c r="G153" s="3"/>
    </row>
    <row r="154">
      <c r="A154" s="3"/>
      <c r="B154" s="3"/>
      <c r="C154" s="3"/>
      <c r="D154" s="3"/>
      <c r="E154" s="3"/>
      <c r="F154" s="3"/>
      <c r="G154" s="3"/>
    </row>
    <row r="155">
      <c r="A155" s="3"/>
      <c r="B155" s="3"/>
      <c r="C155" s="3"/>
      <c r="D155" s="220" t="s">
        <v>430</v>
      </c>
      <c r="E155" s="3"/>
      <c r="F155" s="3"/>
      <c r="G155" s="3"/>
    </row>
    <row r="156">
      <c r="A156" s="3"/>
      <c r="B156" s="3"/>
      <c r="C156" s="3"/>
      <c r="D156" s="220" t="s">
        <v>431</v>
      </c>
      <c r="E156" s="3"/>
      <c r="F156" s="3"/>
      <c r="G156" s="3"/>
    </row>
    <row r="157">
      <c r="A157" s="3"/>
      <c r="B157" s="3"/>
      <c r="C157" s="3"/>
      <c r="D157" s="3"/>
      <c r="E157" s="3"/>
      <c r="F157" s="3"/>
      <c r="G157" s="3"/>
    </row>
    <row r="158">
      <c r="A158" s="3"/>
      <c r="B158" s="3"/>
      <c r="C158" s="3"/>
      <c r="D158" s="3"/>
      <c r="E158" s="3"/>
      <c r="F158" s="3"/>
      <c r="G158" s="3"/>
    </row>
    <row r="159">
      <c r="A159" s="3"/>
      <c r="B159" s="3"/>
      <c r="C159" s="3"/>
      <c r="D159" s="3"/>
      <c r="E159" s="3"/>
      <c r="F159" s="3"/>
      <c r="G159" s="3"/>
    </row>
    <row r="160">
      <c r="A160" s="3"/>
      <c r="B160" s="3"/>
      <c r="C160" s="3"/>
      <c r="D160" s="3"/>
      <c r="E160" s="3"/>
      <c r="F160" s="3"/>
      <c r="G160" s="3"/>
    </row>
    <row r="161">
      <c r="A161" s="3"/>
      <c r="B161" s="3"/>
      <c r="C161" s="3"/>
      <c r="D161" s="3"/>
      <c r="E161" s="3"/>
      <c r="F161" s="3"/>
      <c r="G161" s="3"/>
    </row>
    <row r="162">
      <c r="A162" s="3"/>
      <c r="B162" s="3"/>
      <c r="C162" s="3"/>
      <c r="D162" s="3"/>
      <c r="E162" s="3"/>
      <c r="F162" s="3"/>
      <c r="G162" s="3"/>
    </row>
    <row r="163">
      <c r="A163" s="3"/>
      <c r="B163" s="3"/>
      <c r="C163" s="3"/>
      <c r="D163" s="3"/>
      <c r="E163" s="3"/>
      <c r="F163" s="3"/>
      <c r="G163" s="3"/>
    </row>
    <row r="164">
      <c r="A164" s="3"/>
      <c r="B164" s="3"/>
      <c r="C164" s="3"/>
      <c r="D164" s="3"/>
      <c r="E164" s="3"/>
      <c r="F164" s="3"/>
      <c r="G164" s="3"/>
    </row>
    <row r="165">
      <c r="A165" s="3"/>
      <c r="B165" s="3"/>
      <c r="C165" s="3"/>
      <c r="D165" s="3"/>
      <c r="E165" s="3"/>
      <c r="F165" s="3"/>
      <c r="G165" s="3"/>
    </row>
    <row r="166">
      <c r="A166" s="3"/>
      <c r="B166" s="3"/>
      <c r="C166" s="3"/>
      <c r="D166" s="3"/>
      <c r="E166" s="3"/>
      <c r="F166" s="3"/>
      <c r="G166" s="3"/>
    </row>
    <row r="167">
      <c r="A167" s="3"/>
      <c r="B167" s="3"/>
      <c r="C167" s="3"/>
      <c r="D167" s="3"/>
      <c r="E167" s="3"/>
      <c r="F167" s="3"/>
      <c r="G167" s="3"/>
    </row>
    <row r="168">
      <c r="A168" s="3"/>
      <c r="B168" s="3"/>
      <c r="C168" s="3"/>
      <c r="D168" s="3"/>
      <c r="E168" s="3"/>
      <c r="F168" s="3"/>
      <c r="G168" s="3"/>
    </row>
    <row r="169">
      <c r="A169" s="3"/>
      <c r="B169" s="3"/>
      <c r="C169" s="3"/>
      <c r="D169" s="3"/>
      <c r="E169" s="3"/>
      <c r="F169" s="3"/>
      <c r="G169" s="3"/>
    </row>
    <row r="170">
      <c r="A170" s="3"/>
      <c r="B170" s="3"/>
      <c r="C170" s="3"/>
      <c r="D170" s="3"/>
      <c r="E170" s="3"/>
      <c r="F170" s="3"/>
      <c r="G170" s="3"/>
    </row>
    <row r="171">
      <c r="A171" s="3"/>
      <c r="B171" s="3"/>
      <c r="C171" s="3"/>
      <c r="D171" s="3"/>
      <c r="E171" s="3"/>
      <c r="F171" s="3"/>
      <c r="G171" s="3"/>
    </row>
    <row r="172">
      <c r="A172" s="3"/>
      <c r="B172" s="3"/>
      <c r="C172" s="3"/>
      <c r="D172" s="3"/>
      <c r="E172" s="3"/>
      <c r="F172" s="3"/>
      <c r="G172" s="3"/>
    </row>
    <row r="173">
      <c r="A173" s="3"/>
      <c r="B173" s="3"/>
      <c r="C173" s="3"/>
      <c r="D173" s="3"/>
      <c r="E173" s="3"/>
      <c r="F173" s="3"/>
      <c r="G173" s="3"/>
    </row>
    <row r="174">
      <c r="A174" s="3"/>
      <c r="B174" s="3"/>
      <c r="C174" s="3"/>
      <c r="D174" s="3"/>
      <c r="E174" s="3"/>
      <c r="F174" s="3"/>
      <c r="G174" s="3"/>
    </row>
    <row r="175">
      <c r="A175" s="3"/>
      <c r="B175" s="3"/>
      <c r="C175" s="3"/>
      <c r="D175" s="3"/>
      <c r="E175" s="3"/>
      <c r="F175" s="3"/>
      <c r="G175" s="3"/>
    </row>
    <row r="176">
      <c r="A176" s="3"/>
      <c r="B176" s="3"/>
      <c r="C176" s="3"/>
      <c r="D176" s="3"/>
      <c r="E176" s="3"/>
      <c r="F176" s="3"/>
      <c r="G176" s="3"/>
    </row>
    <row r="177">
      <c r="A177" s="3"/>
      <c r="B177" s="3"/>
      <c r="C177" s="3"/>
      <c r="D177" s="3"/>
      <c r="E177" s="3"/>
      <c r="F177" s="3"/>
      <c r="G177" s="3"/>
    </row>
    <row r="178">
      <c r="A178" s="3"/>
      <c r="B178" s="3"/>
      <c r="C178" s="3"/>
      <c r="D178" s="3"/>
      <c r="E178" s="3"/>
      <c r="F178" s="3"/>
      <c r="G178" s="3"/>
    </row>
    <row r="179">
      <c r="A179" s="3"/>
      <c r="B179" s="3"/>
      <c r="C179" s="3"/>
      <c r="D179" s="3"/>
      <c r="E179" s="3"/>
      <c r="F179" s="3"/>
      <c r="G179" s="3"/>
    </row>
    <row r="180">
      <c r="A180" s="3"/>
      <c r="B180" s="3"/>
      <c r="C180" s="3"/>
      <c r="D180" s="3"/>
      <c r="E180" s="3"/>
      <c r="F180" s="3"/>
      <c r="G180" s="3"/>
    </row>
    <row r="181">
      <c r="A181" s="3"/>
      <c r="B181" s="3"/>
      <c r="C181" s="3"/>
      <c r="D181" s="3"/>
      <c r="E181" s="3"/>
      <c r="F181" s="3"/>
      <c r="G181" s="3"/>
    </row>
    <row r="182">
      <c r="A182" s="3"/>
      <c r="B182" s="3"/>
      <c r="C182" s="3"/>
      <c r="D182" s="3"/>
      <c r="E182" s="3"/>
      <c r="F182" s="3"/>
      <c r="G182" s="3"/>
    </row>
    <row r="183">
      <c r="A183" s="3"/>
      <c r="B183" s="3"/>
      <c r="C183" s="3"/>
      <c r="D183" s="3"/>
      <c r="E183" s="3"/>
      <c r="F183" s="3"/>
      <c r="G183" s="3"/>
    </row>
    <row r="184">
      <c r="A184" s="3"/>
      <c r="B184" s="3"/>
      <c r="C184" s="3"/>
      <c r="D184" s="3"/>
      <c r="E184" s="3"/>
      <c r="F184" s="3"/>
      <c r="G184" s="3"/>
    </row>
    <row r="185">
      <c r="A185" s="3"/>
      <c r="B185" s="3"/>
      <c r="C185" s="3"/>
      <c r="D185" s="3"/>
      <c r="E185" s="3"/>
      <c r="F185" s="3"/>
      <c r="G185" s="3"/>
    </row>
    <row r="186">
      <c r="A186" s="3"/>
      <c r="B186" s="3"/>
      <c r="C186" s="3"/>
      <c r="D186" s="3"/>
      <c r="E186" s="3"/>
      <c r="F186" s="3"/>
      <c r="G186" s="3"/>
    </row>
    <row r="187">
      <c r="A187" s="3"/>
      <c r="B187" s="3"/>
      <c r="C187" s="3"/>
      <c r="D187" s="3"/>
      <c r="E187" s="3"/>
      <c r="F187" s="3"/>
      <c r="G187" s="3"/>
    </row>
    <row r="188">
      <c r="A188" s="3"/>
      <c r="B188" s="3"/>
      <c r="C188" s="3"/>
      <c r="D188" s="3"/>
      <c r="E188" s="3"/>
      <c r="F188" s="3"/>
      <c r="G188" s="3"/>
    </row>
    <row r="189">
      <c r="A189" s="3"/>
      <c r="B189" s="3"/>
      <c r="C189" s="3"/>
      <c r="D189" s="3"/>
      <c r="E189" s="3"/>
      <c r="F189" s="3"/>
      <c r="G189" s="3"/>
    </row>
    <row r="190">
      <c r="A190" s="3"/>
      <c r="B190" s="3"/>
      <c r="C190" s="3"/>
      <c r="D190" s="3"/>
      <c r="E190" s="3"/>
      <c r="F190" s="3"/>
      <c r="G190" s="3"/>
    </row>
    <row r="191">
      <c r="A191" s="3"/>
      <c r="B191" s="3"/>
      <c r="C191" s="3"/>
      <c r="D191" s="3"/>
      <c r="E191" s="3"/>
      <c r="F191" s="3"/>
      <c r="G191" s="3"/>
    </row>
    <row r="192">
      <c r="A192" s="3"/>
      <c r="B192" s="3"/>
      <c r="C192" s="3"/>
      <c r="D192" s="3"/>
      <c r="E192" s="3"/>
      <c r="F192" s="3"/>
      <c r="G192" s="3"/>
    </row>
    <row r="193">
      <c r="A193" s="3"/>
      <c r="B193" s="3"/>
      <c r="C193" s="3"/>
      <c r="D193" s="3"/>
      <c r="E193" s="3"/>
      <c r="F193" s="3"/>
      <c r="G193" s="3"/>
    </row>
    <row r="194">
      <c r="A194" s="3"/>
      <c r="B194" s="3"/>
      <c r="C194" s="3"/>
      <c r="D194" s="3"/>
      <c r="E194" s="3"/>
      <c r="F194" s="3"/>
      <c r="G194" s="3"/>
    </row>
    <row r="195">
      <c r="A195" s="3"/>
      <c r="B195" s="3"/>
      <c r="C195" s="3"/>
      <c r="D195" s="3"/>
      <c r="E195" s="3"/>
      <c r="F195" s="3"/>
      <c r="G195" s="3"/>
    </row>
    <row r="196">
      <c r="A196" s="3"/>
      <c r="B196" s="3"/>
      <c r="C196" s="3"/>
      <c r="D196" s="3"/>
      <c r="E196" s="3"/>
      <c r="F196" s="3"/>
      <c r="G196" s="3"/>
    </row>
    <row r="197">
      <c r="A197" s="3"/>
      <c r="B197" s="3"/>
      <c r="C197" s="3"/>
      <c r="D197" s="3"/>
      <c r="E197" s="3"/>
      <c r="F197" s="3"/>
      <c r="G197" s="3"/>
    </row>
    <row r="198">
      <c r="A198" s="3"/>
      <c r="B198" s="3"/>
      <c r="C198" s="3"/>
      <c r="D198" s="3"/>
      <c r="E198" s="3"/>
      <c r="F198" s="3"/>
      <c r="G198" s="3"/>
    </row>
    <row r="199">
      <c r="A199" s="3"/>
      <c r="B199" s="3"/>
      <c r="C199" s="3"/>
      <c r="D199" s="3"/>
      <c r="E199" s="3"/>
      <c r="F199" s="3"/>
      <c r="G199" s="3"/>
    </row>
    <row r="200">
      <c r="A200" s="3"/>
      <c r="B200" s="3"/>
      <c r="C200" s="3"/>
      <c r="D200" s="3"/>
      <c r="E200" s="3"/>
      <c r="F200" s="3"/>
      <c r="G200" s="3"/>
    </row>
    <row r="201">
      <c r="A201" s="3"/>
      <c r="B201" s="3"/>
      <c r="C201" s="3"/>
      <c r="D201" s="3"/>
      <c r="E201" s="3"/>
      <c r="F201" s="3"/>
      <c r="G201" s="3"/>
    </row>
    <row r="202">
      <c r="A202" s="3"/>
      <c r="B202" s="3"/>
      <c r="C202" s="3"/>
      <c r="D202" s="3"/>
      <c r="E202" s="3"/>
      <c r="F202" s="3"/>
      <c r="G202" s="3"/>
    </row>
    <row r="203">
      <c r="A203" s="3"/>
      <c r="B203" s="3"/>
      <c r="C203" s="3"/>
      <c r="D203" s="3"/>
      <c r="E203" s="3"/>
      <c r="F203" s="3"/>
      <c r="G203" s="3"/>
    </row>
    <row r="204">
      <c r="A204" s="3"/>
      <c r="B204" s="3"/>
      <c r="C204" s="3"/>
      <c r="D204" s="3"/>
      <c r="E204" s="3"/>
      <c r="F204" s="3"/>
      <c r="G204" s="3"/>
    </row>
    <row r="205">
      <c r="A205" s="3"/>
      <c r="B205" s="3"/>
      <c r="C205" s="3"/>
      <c r="D205" s="3"/>
      <c r="E205" s="3"/>
      <c r="F205" s="3"/>
      <c r="G205" s="3"/>
    </row>
    <row r="206">
      <c r="A206" s="3"/>
      <c r="B206" s="3"/>
      <c r="C206" s="3"/>
      <c r="D206" s="3"/>
      <c r="E206" s="3"/>
      <c r="F206" s="3"/>
      <c r="G206" s="3"/>
    </row>
    <row r="207">
      <c r="A207" s="3"/>
      <c r="B207" s="3"/>
      <c r="C207" s="3"/>
      <c r="D207" s="3"/>
      <c r="E207" s="3"/>
      <c r="F207" s="3"/>
      <c r="G207" s="3"/>
    </row>
    <row r="208">
      <c r="A208" s="3"/>
      <c r="B208" s="3"/>
      <c r="C208" s="3"/>
      <c r="D208" s="3"/>
      <c r="E208" s="3"/>
      <c r="F208" s="3"/>
      <c r="G208" s="3"/>
    </row>
    <row r="209">
      <c r="A209" s="3"/>
      <c r="B209" s="3"/>
      <c r="C209" s="3"/>
      <c r="D209" s="3"/>
      <c r="E209" s="3"/>
      <c r="F209" s="3"/>
      <c r="G209" s="3"/>
    </row>
    <row r="210">
      <c r="A210" s="3"/>
      <c r="B210" s="3"/>
      <c r="C210" s="3"/>
      <c r="D210" s="3"/>
      <c r="E210" s="3"/>
      <c r="F210" s="3"/>
      <c r="G210" s="3"/>
    </row>
    <row r="211">
      <c r="A211" s="3"/>
      <c r="B211" s="3"/>
      <c r="C211" s="3"/>
      <c r="D211" s="3"/>
      <c r="E211" s="3"/>
      <c r="F211" s="3"/>
      <c r="G211" s="3"/>
    </row>
    <row r="212">
      <c r="A212" s="3"/>
      <c r="B212" s="3"/>
      <c r="C212" s="3"/>
      <c r="D212" s="3"/>
      <c r="E212" s="3"/>
      <c r="F212" s="3"/>
      <c r="G212" s="3"/>
    </row>
    <row r="213">
      <c r="A213" s="3"/>
      <c r="B213" s="3"/>
      <c r="C213" s="3"/>
      <c r="D213" s="3"/>
      <c r="E213" s="3"/>
      <c r="F213" s="3"/>
      <c r="G213" s="3"/>
    </row>
    <row r="214">
      <c r="A214" s="3"/>
      <c r="B214" s="3"/>
      <c r="C214" s="3"/>
      <c r="D214" s="3"/>
      <c r="E214" s="3"/>
      <c r="F214" s="3"/>
      <c r="G214" s="3"/>
    </row>
    <row r="215">
      <c r="A215" s="3"/>
      <c r="B215" s="3"/>
      <c r="C215" s="3"/>
      <c r="D215" s="3"/>
      <c r="E215" s="3"/>
      <c r="F215" s="3"/>
      <c r="G215" s="3"/>
    </row>
    <row r="216">
      <c r="A216" s="3"/>
      <c r="B216" s="3"/>
      <c r="C216" s="3"/>
      <c r="D216" s="3"/>
      <c r="E216" s="3"/>
      <c r="F216" s="3"/>
      <c r="G216" s="3"/>
    </row>
    <row r="217">
      <c r="A217" s="3"/>
      <c r="B217" s="3"/>
      <c r="C217" s="3"/>
      <c r="D217" s="3"/>
      <c r="E217" s="3"/>
      <c r="F217" s="3"/>
      <c r="G217" s="3"/>
    </row>
    <row r="218">
      <c r="A218" s="3"/>
      <c r="B218" s="3"/>
      <c r="C218" s="3"/>
      <c r="D218" s="3"/>
      <c r="E218" s="3"/>
      <c r="F218" s="3"/>
      <c r="G218" s="3"/>
    </row>
    <row r="219">
      <c r="A219" s="3"/>
      <c r="B219" s="3"/>
      <c r="C219" s="3"/>
      <c r="D219" s="3"/>
      <c r="E219" s="3"/>
      <c r="F219" s="3"/>
      <c r="G219" s="3"/>
    </row>
    <row r="220">
      <c r="A220" s="3"/>
      <c r="B220" s="3"/>
      <c r="C220" s="3"/>
      <c r="D220" s="3"/>
      <c r="E220" s="3"/>
      <c r="F220" s="3"/>
      <c r="G220" s="3"/>
    </row>
    <row r="221">
      <c r="A221" s="3"/>
      <c r="B221" s="3"/>
      <c r="C221" s="3"/>
      <c r="D221" s="3"/>
      <c r="E221" s="3"/>
      <c r="F221" s="3"/>
      <c r="G221" s="3"/>
    </row>
    <row r="222">
      <c r="A222" s="3"/>
      <c r="B222" s="3"/>
      <c r="C222" s="3"/>
      <c r="D222" s="3"/>
      <c r="E222" s="3"/>
      <c r="F222" s="3"/>
      <c r="G222" s="3"/>
    </row>
    <row r="223">
      <c r="A223" s="3"/>
      <c r="B223" s="3"/>
      <c r="C223" s="3"/>
      <c r="D223" s="3"/>
      <c r="E223" s="3"/>
      <c r="F223" s="3"/>
      <c r="G223" s="3"/>
    </row>
    <row r="224">
      <c r="A224" s="3"/>
      <c r="B224" s="3"/>
      <c r="C224" s="3"/>
      <c r="D224" s="3"/>
      <c r="E224" s="3"/>
      <c r="F224" s="3"/>
      <c r="G224" s="3"/>
    </row>
    <row r="225">
      <c r="A225" s="3"/>
      <c r="B225" s="3"/>
      <c r="C225" s="3"/>
      <c r="D225" s="3"/>
      <c r="E225" s="3"/>
      <c r="F225" s="3"/>
      <c r="G225" s="3"/>
    </row>
    <row r="226">
      <c r="A226" s="3"/>
      <c r="B226" s="3"/>
      <c r="C226" s="3"/>
      <c r="D226" s="3"/>
      <c r="E226" s="3"/>
      <c r="F226" s="3"/>
      <c r="G226" s="3"/>
    </row>
    <row r="227">
      <c r="A227" s="3"/>
      <c r="B227" s="3"/>
      <c r="C227" s="3"/>
      <c r="D227" s="3"/>
      <c r="E227" s="3"/>
      <c r="F227" s="3"/>
      <c r="G227" s="3"/>
    </row>
    <row r="228">
      <c r="A228" s="3"/>
      <c r="B228" s="3"/>
      <c r="C228" s="3"/>
      <c r="D228" s="3"/>
      <c r="E228" s="3"/>
      <c r="F228" s="3"/>
      <c r="G228" s="3"/>
    </row>
    <row r="229">
      <c r="A229" s="3"/>
      <c r="B229" s="3"/>
      <c r="C229" s="3"/>
      <c r="D229" s="3"/>
      <c r="E229" s="3"/>
      <c r="F229" s="3"/>
      <c r="G229" s="3"/>
    </row>
    <row r="230">
      <c r="A230" s="3"/>
      <c r="B230" s="3"/>
      <c r="C230" s="3"/>
      <c r="D230" s="3"/>
      <c r="E230" s="3"/>
      <c r="F230" s="3"/>
      <c r="G230" s="3"/>
    </row>
    <row r="231">
      <c r="A231" s="3"/>
      <c r="B231" s="3"/>
      <c r="C231" s="3"/>
      <c r="D231" s="3"/>
      <c r="E231" s="3"/>
      <c r="F231" s="3"/>
      <c r="G231" s="3"/>
    </row>
    <row r="232">
      <c r="A232" s="3"/>
      <c r="B232" s="3"/>
      <c r="C232" s="3"/>
      <c r="D232" s="3"/>
      <c r="E232" s="3"/>
      <c r="F232" s="3"/>
      <c r="G232" s="3"/>
    </row>
    <row r="233">
      <c r="A233" s="3"/>
      <c r="B233" s="3"/>
      <c r="C233" s="3"/>
      <c r="D233" s="3"/>
      <c r="E233" s="3"/>
      <c r="F233" s="3"/>
      <c r="G233" s="3"/>
    </row>
    <row r="234">
      <c r="A234" s="3"/>
      <c r="B234" s="3"/>
      <c r="C234" s="3"/>
      <c r="D234" s="3"/>
      <c r="E234" s="3"/>
      <c r="F234" s="3"/>
      <c r="G234" s="3"/>
    </row>
    <row r="235">
      <c r="A235" s="3"/>
      <c r="B235" s="3"/>
      <c r="C235" s="3"/>
      <c r="D235" s="3"/>
      <c r="E235" s="3"/>
      <c r="F235" s="3"/>
      <c r="G235" s="3"/>
    </row>
    <row r="236">
      <c r="A236" s="3"/>
      <c r="B236" s="3"/>
      <c r="C236" s="3"/>
      <c r="D236" s="3"/>
      <c r="E236" s="3"/>
      <c r="F236" s="3"/>
      <c r="G236" s="3"/>
    </row>
    <row r="237">
      <c r="A237" s="3"/>
      <c r="B237" s="3"/>
      <c r="C237" s="3"/>
      <c r="D237" s="3"/>
      <c r="E237" s="3"/>
      <c r="F237" s="3"/>
      <c r="G237" s="3"/>
    </row>
    <row r="238">
      <c r="A238" s="3"/>
      <c r="B238" s="3"/>
      <c r="C238" s="3"/>
      <c r="D238" s="3"/>
      <c r="E238" s="3"/>
      <c r="F238" s="3"/>
      <c r="G238" s="3"/>
    </row>
    <row r="239">
      <c r="A239" s="3"/>
      <c r="B239" s="3"/>
      <c r="C239" s="3"/>
      <c r="D239" s="3"/>
      <c r="E239" s="3"/>
      <c r="F239" s="3"/>
      <c r="G239" s="3"/>
    </row>
    <row r="240">
      <c r="A240" s="3"/>
      <c r="B240" s="3"/>
      <c r="C240" s="3"/>
      <c r="D240" s="3"/>
      <c r="E240" s="3"/>
      <c r="F240" s="3"/>
      <c r="G240" s="3"/>
    </row>
    <row r="241">
      <c r="A241" s="3"/>
      <c r="B241" s="3"/>
      <c r="C241" s="3"/>
      <c r="D241" s="3"/>
      <c r="E241" s="3"/>
      <c r="F241" s="3"/>
      <c r="G241" s="3"/>
    </row>
    <row r="242">
      <c r="A242" s="3"/>
      <c r="B242" s="3"/>
      <c r="C242" s="3"/>
      <c r="D242" s="3"/>
      <c r="E242" s="3"/>
      <c r="F242" s="3"/>
      <c r="G242" s="3"/>
    </row>
    <row r="243">
      <c r="A243" s="3"/>
      <c r="B243" s="3"/>
      <c r="C243" s="3"/>
      <c r="D243" s="3"/>
      <c r="E243" s="3"/>
      <c r="F243" s="3"/>
      <c r="G243" s="3"/>
    </row>
    <row r="244">
      <c r="A244" s="3"/>
      <c r="B244" s="3"/>
      <c r="C244" s="3"/>
      <c r="D244" s="3"/>
      <c r="E244" s="3"/>
      <c r="F244" s="3"/>
      <c r="G244" s="3"/>
    </row>
    <row r="245">
      <c r="A245" s="3"/>
      <c r="B245" s="3"/>
      <c r="C245" s="3"/>
      <c r="D245" s="3"/>
      <c r="E245" s="3"/>
      <c r="F245" s="3"/>
      <c r="G245" s="3"/>
    </row>
    <row r="246">
      <c r="A246" s="3"/>
      <c r="B246" s="3"/>
      <c r="C246" s="3"/>
      <c r="D246" s="3"/>
      <c r="E246" s="3"/>
      <c r="F246" s="3"/>
      <c r="G246" s="3"/>
    </row>
    <row r="247">
      <c r="A247" s="3"/>
      <c r="B247" s="3"/>
      <c r="C247" s="3"/>
      <c r="D247" s="3"/>
      <c r="E247" s="3"/>
      <c r="F247" s="3"/>
      <c r="G247" s="3"/>
    </row>
    <row r="248">
      <c r="A248" s="3"/>
      <c r="B248" s="3"/>
      <c r="C248" s="3"/>
      <c r="D248" s="3"/>
      <c r="E248" s="3"/>
      <c r="F248" s="3"/>
      <c r="G248" s="3"/>
    </row>
    <row r="249">
      <c r="A249" s="3"/>
      <c r="B249" s="3"/>
      <c r="C249" s="3"/>
      <c r="D249" s="3"/>
      <c r="E249" s="3"/>
      <c r="F249" s="3"/>
      <c r="G249" s="3"/>
    </row>
    <row r="250">
      <c r="A250" s="3"/>
      <c r="B250" s="3"/>
      <c r="C250" s="3"/>
      <c r="D250" s="3"/>
      <c r="E250" s="3"/>
      <c r="F250" s="3"/>
      <c r="G250" s="3"/>
    </row>
    <row r="251">
      <c r="A251" s="3"/>
      <c r="B251" s="3"/>
      <c r="C251" s="3"/>
      <c r="D251" s="3"/>
      <c r="E251" s="3"/>
      <c r="F251" s="3"/>
      <c r="G251" s="3"/>
    </row>
    <row r="252">
      <c r="A252" s="3"/>
      <c r="B252" s="3"/>
      <c r="C252" s="3"/>
      <c r="D252" s="3"/>
      <c r="E252" s="3"/>
      <c r="F252" s="3"/>
      <c r="G252" s="3"/>
    </row>
    <row r="253">
      <c r="A253" s="3"/>
      <c r="B253" s="3"/>
      <c r="C253" s="3"/>
      <c r="D253" s="3"/>
      <c r="E253" s="3"/>
      <c r="F253" s="3"/>
      <c r="G253" s="3"/>
    </row>
    <row r="254">
      <c r="A254" s="3"/>
      <c r="B254" s="3"/>
      <c r="C254" s="3"/>
      <c r="D254" s="3"/>
      <c r="E254" s="3"/>
      <c r="F254" s="3"/>
      <c r="G254" s="3"/>
    </row>
    <row r="255">
      <c r="A255" s="3"/>
      <c r="B255" s="3"/>
      <c r="C255" s="3"/>
      <c r="D255" s="3"/>
      <c r="E255" s="3"/>
      <c r="F255" s="3"/>
      <c r="G255" s="3"/>
    </row>
    <row r="256">
      <c r="A256" s="3"/>
      <c r="B256" s="3"/>
      <c r="C256" s="3"/>
      <c r="D256" s="3"/>
      <c r="E256" s="3"/>
      <c r="F256" s="3"/>
      <c r="G256" s="3"/>
    </row>
    <row r="257">
      <c r="A257" s="3"/>
      <c r="B257" s="3"/>
      <c r="C257" s="3"/>
      <c r="D257" s="3"/>
      <c r="E257" s="3"/>
      <c r="F257" s="3"/>
      <c r="G257" s="3"/>
    </row>
    <row r="258">
      <c r="A258" s="3"/>
      <c r="B258" s="3"/>
      <c r="C258" s="3"/>
      <c r="D258" s="3"/>
      <c r="E258" s="3"/>
      <c r="F258" s="3"/>
      <c r="G258" s="3"/>
    </row>
    <row r="259">
      <c r="A259" s="3"/>
      <c r="B259" s="3"/>
      <c r="C259" s="3"/>
      <c r="D259" s="3"/>
      <c r="E259" s="3"/>
      <c r="F259" s="3"/>
      <c r="G259" s="3"/>
    </row>
    <row r="260">
      <c r="A260" s="3"/>
      <c r="B260" s="3"/>
      <c r="C260" s="3"/>
      <c r="D260" s="3"/>
      <c r="E260" s="3"/>
      <c r="F260" s="3"/>
      <c r="G260" s="3"/>
    </row>
    <row r="261">
      <c r="A261" s="3"/>
      <c r="B261" s="3"/>
      <c r="C261" s="3"/>
      <c r="D261" s="3"/>
      <c r="E261" s="3"/>
      <c r="F261" s="3"/>
      <c r="G261" s="3"/>
    </row>
    <row r="262">
      <c r="A262" s="3"/>
      <c r="B262" s="3"/>
      <c r="C262" s="3"/>
      <c r="D262" s="3"/>
      <c r="E262" s="3"/>
      <c r="F262" s="3"/>
      <c r="G262" s="3"/>
    </row>
    <row r="263">
      <c r="A263" s="3"/>
      <c r="B263" s="3"/>
      <c r="C263" s="3"/>
      <c r="D263" s="3"/>
      <c r="E263" s="3"/>
      <c r="F263" s="3"/>
      <c r="G263" s="3"/>
    </row>
    <row r="264">
      <c r="A264" s="3"/>
      <c r="B264" s="3"/>
      <c r="C264" s="3"/>
      <c r="D264" s="3"/>
      <c r="E264" s="3"/>
      <c r="F264" s="3"/>
      <c r="G264" s="3"/>
    </row>
    <row r="265">
      <c r="A265" s="3"/>
      <c r="B265" s="3"/>
      <c r="C265" s="3"/>
      <c r="D265" s="3"/>
      <c r="E265" s="3"/>
      <c r="F265" s="3"/>
      <c r="G265" s="3"/>
    </row>
    <row r="266">
      <c r="A266" s="3"/>
      <c r="B266" s="3"/>
      <c r="C266" s="3"/>
      <c r="D266" s="3"/>
      <c r="E266" s="3"/>
      <c r="F266" s="3"/>
      <c r="G266" s="3"/>
    </row>
    <row r="267">
      <c r="A267" s="3"/>
      <c r="B267" s="3"/>
      <c r="C267" s="3"/>
      <c r="D267" s="3"/>
      <c r="E267" s="3"/>
      <c r="F267" s="3"/>
      <c r="G267" s="3"/>
    </row>
    <row r="268">
      <c r="A268" s="3"/>
      <c r="B268" s="3"/>
      <c r="C268" s="3"/>
      <c r="D268" s="3"/>
      <c r="E268" s="3"/>
      <c r="F268" s="3"/>
      <c r="G268" s="3"/>
    </row>
    <row r="269">
      <c r="A269" s="3"/>
      <c r="B269" s="3"/>
      <c r="C269" s="3"/>
      <c r="D269" s="3"/>
      <c r="E269" s="3"/>
      <c r="F269" s="3"/>
      <c r="G269" s="3"/>
    </row>
    <row r="270">
      <c r="A270" s="3"/>
      <c r="B270" s="3"/>
      <c r="C270" s="3"/>
      <c r="D270" s="3"/>
      <c r="E270" s="3"/>
      <c r="F270" s="3"/>
      <c r="G270" s="3"/>
    </row>
    <row r="271">
      <c r="A271" s="3"/>
      <c r="B271" s="3"/>
      <c r="C271" s="3"/>
      <c r="D271" s="3"/>
      <c r="E271" s="3"/>
      <c r="F271" s="3"/>
      <c r="G271" s="3"/>
    </row>
    <row r="272">
      <c r="A272" s="3"/>
      <c r="B272" s="3"/>
      <c r="C272" s="3"/>
      <c r="D272" s="3"/>
      <c r="E272" s="3"/>
      <c r="F272" s="3"/>
      <c r="G272" s="3"/>
    </row>
    <row r="273">
      <c r="A273" s="3"/>
      <c r="B273" s="3"/>
      <c r="C273" s="3"/>
      <c r="D273" s="3"/>
      <c r="E273" s="3"/>
      <c r="F273" s="3"/>
      <c r="G273" s="3"/>
    </row>
    <row r="274">
      <c r="A274" s="3"/>
      <c r="B274" s="3"/>
      <c r="C274" s="3"/>
      <c r="D274" s="3"/>
      <c r="E274" s="3"/>
      <c r="F274" s="3"/>
      <c r="G274" s="3"/>
    </row>
    <row r="275">
      <c r="A275" s="3"/>
      <c r="B275" s="3"/>
      <c r="C275" s="3"/>
      <c r="D275" s="3"/>
      <c r="E275" s="3"/>
      <c r="F275" s="3"/>
      <c r="G275" s="3"/>
    </row>
    <row r="276">
      <c r="A276" s="3"/>
      <c r="B276" s="3"/>
      <c r="C276" s="3"/>
      <c r="D276" s="3"/>
      <c r="E276" s="3"/>
      <c r="F276" s="3"/>
      <c r="G276" s="3"/>
    </row>
    <row r="277">
      <c r="A277" s="3"/>
      <c r="B277" s="3"/>
      <c r="C277" s="3"/>
      <c r="D277" s="3"/>
      <c r="E277" s="3"/>
      <c r="F277" s="3"/>
      <c r="G277" s="3"/>
    </row>
    <row r="278">
      <c r="A278" s="3"/>
      <c r="B278" s="3"/>
      <c r="C278" s="3"/>
      <c r="D278" s="3"/>
      <c r="E278" s="3"/>
      <c r="F278" s="3"/>
      <c r="G278" s="3"/>
    </row>
    <row r="279">
      <c r="A279" s="3"/>
      <c r="B279" s="3"/>
      <c r="C279" s="3"/>
      <c r="D279" s="3"/>
      <c r="E279" s="3"/>
      <c r="F279" s="3"/>
      <c r="G279" s="3"/>
    </row>
    <row r="280">
      <c r="A280" s="3"/>
      <c r="B280" s="3"/>
      <c r="C280" s="3"/>
      <c r="D280" s="3"/>
      <c r="E280" s="3"/>
      <c r="F280" s="3"/>
      <c r="G280" s="3"/>
    </row>
    <row r="281">
      <c r="A281" s="3"/>
      <c r="B281" s="3"/>
      <c r="C281" s="3"/>
      <c r="D281" s="3"/>
      <c r="E281" s="3"/>
      <c r="F281" s="3"/>
      <c r="G281" s="3"/>
    </row>
    <row r="282">
      <c r="A282" s="3"/>
      <c r="B282" s="3"/>
      <c r="C282" s="3"/>
      <c r="D282" s="3"/>
      <c r="E282" s="3"/>
      <c r="F282" s="3"/>
      <c r="G282" s="3"/>
    </row>
    <row r="283">
      <c r="A283" s="3"/>
      <c r="B283" s="3"/>
      <c r="C283" s="3"/>
      <c r="D283" s="3"/>
      <c r="E283" s="3"/>
      <c r="F283" s="3"/>
      <c r="G283" s="3"/>
    </row>
    <row r="284">
      <c r="A284" s="3"/>
      <c r="B284" s="3"/>
      <c r="C284" s="3"/>
      <c r="D284" s="3"/>
      <c r="E284" s="3"/>
      <c r="F284" s="3"/>
      <c r="G284" s="3"/>
    </row>
    <row r="285">
      <c r="A285" s="3"/>
      <c r="B285" s="3"/>
      <c r="C285" s="3"/>
      <c r="D285" s="3"/>
      <c r="E285" s="3"/>
      <c r="F285" s="3"/>
      <c r="G285" s="3"/>
    </row>
    <row r="286">
      <c r="A286" s="3"/>
      <c r="B286" s="3"/>
      <c r="C286" s="3"/>
      <c r="D286" s="3"/>
      <c r="E286" s="3"/>
      <c r="F286" s="3"/>
      <c r="G286" s="3"/>
    </row>
    <row r="287">
      <c r="A287" s="3"/>
      <c r="B287" s="3"/>
      <c r="C287" s="3"/>
      <c r="D287" s="3"/>
      <c r="E287" s="3"/>
      <c r="F287" s="3"/>
      <c r="G287" s="3"/>
    </row>
    <row r="288">
      <c r="A288" s="3"/>
      <c r="B288" s="3"/>
      <c r="C288" s="3"/>
      <c r="D288" s="3"/>
      <c r="E288" s="3"/>
      <c r="F288" s="3"/>
      <c r="G288" s="3"/>
    </row>
    <row r="289">
      <c r="A289" s="3"/>
      <c r="B289" s="3"/>
      <c r="C289" s="3"/>
      <c r="D289" s="3"/>
      <c r="E289" s="3"/>
      <c r="F289" s="3"/>
      <c r="G289" s="3"/>
    </row>
    <row r="290">
      <c r="A290" s="3"/>
      <c r="B290" s="3"/>
      <c r="C290" s="3"/>
      <c r="D290" s="3"/>
      <c r="E290" s="3"/>
      <c r="F290" s="3"/>
      <c r="G290" s="3"/>
    </row>
    <row r="291">
      <c r="A291" s="3"/>
      <c r="B291" s="3"/>
      <c r="C291" s="3"/>
      <c r="D291" s="3"/>
      <c r="E291" s="3"/>
      <c r="F291" s="3"/>
      <c r="G291" s="3"/>
    </row>
    <row r="292">
      <c r="A292" s="3"/>
      <c r="B292" s="3"/>
      <c r="C292" s="3"/>
      <c r="D292" s="3"/>
      <c r="E292" s="3"/>
      <c r="F292" s="3"/>
      <c r="G292" s="3"/>
    </row>
    <row r="293">
      <c r="A293" s="3"/>
      <c r="B293" s="3"/>
      <c r="C293" s="3"/>
      <c r="D293" s="3"/>
      <c r="E293" s="3"/>
      <c r="F293" s="3"/>
      <c r="G293" s="3"/>
    </row>
    <row r="294">
      <c r="A294" s="3"/>
      <c r="B294" s="3"/>
      <c r="C294" s="3"/>
      <c r="D294" s="3"/>
      <c r="E294" s="3"/>
      <c r="F294" s="3"/>
      <c r="G294" s="3"/>
    </row>
    <row r="295">
      <c r="A295" s="3"/>
      <c r="B295" s="3"/>
      <c r="C295" s="3"/>
      <c r="D295" s="3"/>
      <c r="E295" s="3"/>
      <c r="F295" s="3"/>
      <c r="G295" s="3"/>
    </row>
    <row r="296">
      <c r="A296" s="3"/>
      <c r="B296" s="3"/>
      <c r="C296" s="3"/>
      <c r="D296" s="3"/>
      <c r="E296" s="3"/>
      <c r="F296" s="3"/>
      <c r="G296" s="3"/>
    </row>
    <row r="297">
      <c r="A297" s="3"/>
      <c r="B297" s="3"/>
      <c r="C297" s="3"/>
      <c r="D297" s="3"/>
      <c r="E297" s="3"/>
      <c r="F297" s="3"/>
      <c r="G297" s="3"/>
    </row>
    <row r="298">
      <c r="A298" s="3"/>
      <c r="B298" s="3"/>
      <c r="C298" s="3"/>
      <c r="D298" s="3"/>
      <c r="E298" s="3"/>
      <c r="F298" s="3"/>
      <c r="G298" s="3"/>
    </row>
    <row r="299">
      <c r="A299" s="3"/>
      <c r="B299" s="3"/>
      <c r="C299" s="3"/>
      <c r="D299" s="3"/>
      <c r="E299" s="3"/>
      <c r="F299" s="3"/>
      <c r="G299" s="3"/>
    </row>
    <row r="300">
      <c r="A300" s="3"/>
      <c r="B300" s="3"/>
      <c r="C300" s="3"/>
      <c r="D300" s="3"/>
      <c r="E300" s="3"/>
      <c r="F300" s="3"/>
      <c r="G300" s="3"/>
    </row>
    <row r="301">
      <c r="A301" s="3"/>
      <c r="B301" s="3"/>
      <c r="C301" s="3"/>
      <c r="D301" s="3"/>
      <c r="E301" s="3"/>
      <c r="F301" s="3"/>
      <c r="G301" s="3"/>
    </row>
    <row r="302">
      <c r="A302" s="3"/>
      <c r="B302" s="3"/>
      <c r="C302" s="3"/>
      <c r="D302" s="3"/>
      <c r="E302" s="3"/>
      <c r="F302" s="3"/>
      <c r="G302" s="3"/>
    </row>
    <row r="303">
      <c r="A303" s="3"/>
      <c r="B303" s="3"/>
      <c r="C303" s="3"/>
      <c r="D303" s="3"/>
      <c r="E303" s="3"/>
      <c r="F303" s="3"/>
      <c r="G303" s="3"/>
    </row>
    <row r="304">
      <c r="A304" s="3"/>
      <c r="B304" s="3"/>
      <c r="C304" s="3"/>
      <c r="D304" s="3"/>
      <c r="E304" s="3"/>
      <c r="F304" s="3"/>
      <c r="G304" s="3"/>
    </row>
    <row r="305">
      <c r="A305" s="3"/>
      <c r="B305" s="3"/>
      <c r="C305" s="3"/>
      <c r="D305" s="3"/>
      <c r="E305" s="3"/>
      <c r="F305" s="3"/>
      <c r="G305" s="3"/>
    </row>
    <row r="306">
      <c r="A306" s="3"/>
      <c r="B306" s="3"/>
      <c r="C306" s="3"/>
      <c r="D306" s="3"/>
      <c r="E306" s="3"/>
      <c r="F306" s="3"/>
      <c r="G306" s="3"/>
    </row>
    <row r="307">
      <c r="A307" s="3"/>
      <c r="B307" s="3"/>
      <c r="C307" s="3"/>
      <c r="D307" s="3"/>
      <c r="E307" s="3"/>
      <c r="F307" s="3"/>
      <c r="G307" s="3"/>
    </row>
    <row r="308">
      <c r="A308" s="3"/>
      <c r="B308" s="3"/>
      <c r="C308" s="3"/>
      <c r="D308" s="3"/>
      <c r="E308" s="3"/>
      <c r="F308" s="3"/>
      <c r="G308" s="3"/>
    </row>
    <row r="309">
      <c r="A309" s="3"/>
      <c r="B309" s="3"/>
      <c r="C309" s="3"/>
      <c r="D309" s="3"/>
      <c r="E309" s="3"/>
      <c r="F309" s="3"/>
      <c r="G309" s="3"/>
    </row>
    <row r="310">
      <c r="A310" s="3"/>
      <c r="B310" s="3"/>
      <c r="C310" s="3"/>
      <c r="D310" s="3"/>
      <c r="E310" s="3"/>
      <c r="F310" s="3"/>
      <c r="G310" s="3"/>
    </row>
    <row r="311">
      <c r="A311" s="3"/>
      <c r="B311" s="3"/>
      <c r="C311" s="3"/>
      <c r="D311" s="3"/>
      <c r="E311" s="3"/>
      <c r="F311" s="3"/>
      <c r="G311" s="3"/>
    </row>
    <row r="312">
      <c r="A312" s="3"/>
      <c r="B312" s="3"/>
      <c r="C312" s="3"/>
      <c r="D312" s="3"/>
      <c r="E312" s="3"/>
      <c r="F312" s="3"/>
      <c r="G312" s="3"/>
    </row>
    <row r="313">
      <c r="A313" s="3"/>
      <c r="B313" s="3"/>
      <c r="C313" s="3"/>
      <c r="D313" s="3"/>
      <c r="E313" s="3"/>
      <c r="F313" s="3"/>
      <c r="G313" s="3"/>
    </row>
    <row r="314">
      <c r="A314" s="3"/>
      <c r="B314" s="3"/>
      <c r="C314" s="3"/>
      <c r="D314" s="3"/>
      <c r="E314" s="3"/>
      <c r="F314" s="3"/>
      <c r="G314" s="3"/>
    </row>
    <row r="315">
      <c r="A315" s="3"/>
      <c r="B315" s="3"/>
      <c r="C315" s="3"/>
      <c r="D315" s="3"/>
      <c r="E315" s="3"/>
      <c r="F315" s="3"/>
      <c r="G315" s="3"/>
    </row>
    <row r="316">
      <c r="A316" s="3"/>
      <c r="B316" s="3"/>
      <c r="C316" s="3"/>
      <c r="D316" s="3"/>
      <c r="E316" s="3"/>
      <c r="F316" s="3"/>
      <c r="G316" s="3"/>
    </row>
    <row r="317">
      <c r="A317" s="3"/>
      <c r="B317" s="3"/>
      <c r="C317" s="3"/>
      <c r="D317" s="3"/>
      <c r="E317" s="3"/>
      <c r="F317" s="3"/>
      <c r="G317" s="3"/>
    </row>
    <row r="318">
      <c r="A318" s="3"/>
      <c r="B318" s="3"/>
      <c r="C318" s="3"/>
      <c r="D318" s="3"/>
      <c r="E318" s="3"/>
      <c r="F318" s="3"/>
      <c r="G318" s="3"/>
    </row>
    <row r="319">
      <c r="A319" s="3"/>
      <c r="B319" s="3"/>
      <c r="C319" s="3"/>
      <c r="D319" s="3"/>
      <c r="E319" s="3"/>
      <c r="F319" s="3"/>
      <c r="G319" s="3"/>
    </row>
    <row r="320">
      <c r="A320" s="3"/>
      <c r="B320" s="3"/>
      <c r="C320" s="3"/>
      <c r="D320" s="3"/>
      <c r="E320" s="3"/>
      <c r="F320" s="3"/>
      <c r="G320" s="3"/>
    </row>
    <row r="321">
      <c r="A321" s="3"/>
      <c r="B321" s="3"/>
      <c r="C321" s="3"/>
      <c r="D321" s="3"/>
      <c r="E321" s="3"/>
      <c r="F321" s="3"/>
      <c r="G321" s="3"/>
    </row>
    <row r="322">
      <c r="A322" s="3"/>
      <c r="B322" s="3"/>
      <c r="C322" s="3"/>
      <c r="D322" s="3"/>
      <c r="E322" s="3"/>
      <c r="F322" s="3"/>
      <c r="G322" s="3"/>
    </row>
    <row r="323">
      <c r="A323" s="3"/>
      <c r="B323" s="3"/>
      <c r="C323" s="3"/>
      <c r="D323" s="3"/>
      <c r="E323" s="3"/>
      <c r="F323" s="3"/>
      <c r="G323" s="3"/>
    </row>
    <row r="324">
      <c r="A324" s="3"/>
      <c r="B324" s="3"/>
      <c r="C324" s="3"/>
      <c r="D324" s="3"/>
      <c r="E324" s="3"/>
      <c r="F324" s="3"/>
      <c r="G324" s="3"/>
    </row>
    <row r="325">
      <c r="A325" s="3"/>
      <c r="B325" s="3"/>
      <c r="C325" s="3"/>
      <c r="D325" s="3"/>
      <c r="E325" s="3"/>
      <c r="F325" s="3"/>
      <c r="G325" s="3"/>
    </row>
    <row r="326">
      <c r="A326" s="3"/>
      <c r="B326" s="3"/>
      <c r="C326" s="3"/>
      <c r="D326" s="3"/>
      <c r="E326" s="3"/>
      <c r="F326" s="3"/>
      <c r="G326" s="3"/>
    </row>
    <row r="327">
      <c r="A327" s="3"/>
      <c r="B327" s="3"/>
      <c r="C327" s="3"/>
      <c r="D327" s="3"/>
      <c r="E327" s="3"/>
      <c r="F327" s="3"/>
      <c r="G327" s="3"/>
    </row>
    <row r="328">
      <c r="A328" s="3"/>
      <c r="B328" s="3"/>
      <c r="C328" s="3"/>
      <c r="D328" s="3"/>
      <c r="E328" s="3"/>
      <c r="F328" s="3"/>
      <c r="G328" s="3"/>
    </row>
    <row r="329">
      <c r="A329" s="3"/>
      <c r="B329" s="3"/>
      <c r="C329" s="3"/>
      <c r="D329" s="3"/>
      <c r="E329" s="3"/>
      <c r="F329" s="3"/>
      <c r="G329" s="3"/>
    </row>
    <row r="330">
      <c r="A330" s="3"/>
      <c r="B330" s="3"/>
      <c r="C330" s="3"/>
      <c r="D330" s="3"/>
      <c r="E330" s="3"/>
      <c r="F330" s="3"/>
      <c r="G330" s="3"/>
    </row>
    <row r="331">
      <c r="A331" s="3"/>
      <c r="B331" s="3"/>
      <c r="C331" s="3"/>
      <c r="D331" s="3"/>
      <c r="E331" s="3"/>
      <c r="F331" s="3"/>
      <c r="G331" s="3"/>
    </row>
    <row r="332">
      <c r="A332" s="3"/>
      <c r="B332" s="3"/>
      <c r="C332" s="3"/>
      <c r="D332" s="3"/>
      <c r="E332" s="3"/>
      <c r="F332" s="3"/>
      <c r="G332" s="3"/>
    </row>
    <row r="333">
      <c r="A333" s="3"/>
      <c r="B333" s="3"/>
      <c r="C333" s="3"/>
      <c r="D333" s="3"/>
      <c r="E333" s="3"/>
      <c r="F333" s="3"/>
      <c r="G333" s="3"/>
    </row>
    <row r="334">
      <c r="A334" s="3"/>
      <c r="B334" s="3"/>
      <c r="C334" s="3"/>
      <c r="D334" s="3"/>
      <c r="E334" s="3"/>
      <c r="F334" s="3"/>
      <c r="G334" s="3"/>
    </row>
    <row r="335">
      <c r="A335" s="3"/>
      <c r="B335" s="3"/>
      <c r="C335" s="3"/>
      <c r="D335" s="3"/>
      <c r="E335" s="3"/>
      <c r="F335" s="3"/>
      <c r="G335" s="3"/>
    </row>
    <row r="336">
      <c r="A336" s="3"/>
      <c r="B336" s="3"/>
      <c r="C336" s="3"/>
      <c r="D336" s="3"/>
      <c r="E336" s="3"/>
      <c r="F336" s="3"/>
      <c r="G336" s="3"/>
    </row>
    <row r="337">
      <c r="A337" s="3"/>
      <c r="B337" s="3"/>
      <c r="C337" s="3"/>
      <c r="D337" s="3"/>
      <c r="E337" s="3"/>
      <c r="F337" s="3"/>
      <c r="G337" s="3"/>
    </row>
    <row r="338">
      <c r="A338" s="3"/>
      <c r="B338" s="3"/>
      <c r="C338" s="3"/>
      <c r="D338" s="3"/>
      <c r="E338" s="3"/>
      <c r="F338" s="3"/>
      <c r="G338" s="3"/>
    </row>
    <row r="339">
      <c r="A339" s="3"/>
      <c r="B339" s="3"/>
      <c r="C339" s="3"/>
      <c r="D339" s="3"/>
      <c r="E339" s="3"/>
      <c r="F339" s="3"/>
      <c r="G339" s="3"/>
    </row>
    <row r="340">
      <c r="A340" s="3"/>
      <c r="B340" s="3"/>
      <c r="C340" s="3"/>
      <c r="D340" s="3"/>
      <c r="E340" s="3"/>
      <c r="F340" s="3"/>
      <c r="G340" s="3"/>
    </row>
    <row r="341">
      <c r="A341" s="3"/>
      <c r="B341" s="3"/>
      <c r="C341" s="3"/>
      <c r="D341" s="3"/>
      <c r="E341" s="3"/>
      <c r="F341" s="3"/>
      <c r="G341" s="3"/>
    </row>
    <row r="342">
      <c r="A342" s="3"/>
      <c r="B342" s="3"/>
      <c r="C342" s="3"/>
      <c r="D342" s="3"/>
      <c r="E342" s="3"/>
      <c r="F342" s="3"/>
      <c r="G342" s="3"/>
    </row>
    <row r="343">
      <c r="A343" s="3"/>
      <c r="B343" s="3"/>
      <c r="C343" s="3"/>
      <c r="D343" s="3"/>
      <c r="E343" s="3"/>
      <c r="F343" s="3"/>
      <c r="G343" s="3"/>
    </row>
    <row r="344">
      <c r="A344" s="3"/>
      <c r="B344" s="3"/>
      <c r="C344" s="3"/>
      <c r="D344" s="3"/>
      <c r="E344" s="3"/>
      <c r="F344" s="3"/>
      <c r="G344" s="3"/>
    </row>
    <row r="345">
      <c r="A345" s="3"/>
      <c r="B345" s="3"/>
      <c r="C345" s="3"/>
      <c r="D345" s="3"/>
      <c r="E345" s="3"/>
      <c r="F345" s="3"/>
      <c r="G345" s="3"/>
    </row>
    <row r="346">
      <c r="A346" s="3"/>
      <c r="B346" s="3"/>
      <c r="C346" s="3"/>
      <c r="D346" s="3"/>
      <c r="E346" s="3"/>
      <c r="F346" s="3"/>
      <c r="G346" s="3"/>
    </row>
    <row r="347">
      <c r="A347" s="3"/>
      <c r="B347" s="3"/>
      <c r="C347" s="3"/>
      <c r="D347" s="3"/>
      <c r="E347" s="3"/>
      <c r="F347" s="3"/>
      <c r="G347" s="3"/>
    </row>
    <row r="348">
      <c r="A348" s="3"/>
      <c r="B348" s="3"/>
      <c r="C348" s="3"/>
      <c r="D348" s="3"/>
      <c r="E348" s="3"/>
      <c r="F348" s="3"/>
      <c r="G348" s="3"/>
    </row>
    <row r="349">
      <c r="A349" s="3"/>
      <c r="B349" s="3"/>
      <c r="C349" s="3"/>
      <c r="D349" s="3"/>
      <c r="E349" s="3"/>
      <c r="F349" s="3"/>
      <c r="G349" s="3"/>
    </row>
    <row r="350">
      <c r="A350" s="3"/>
      <c r="B350" s="3"/>
      <c r="C350" s="3"/>
      <c r="D350" s="3"/>
      <c r="E350" s="3"/>
      <c r="F350" s="3"/>
      <c r="G350" s="3"/>
    </row>
    <row r="351">
      <c r="A351" s="3"/>
      <c r="B351" s="3"/>
      <c r="C351" s="3"/>
      <c r="D351" s="3"/>
      <c r="E351" s="3"/>
      <c r="F351" s="3"/>
      <c r="G351" s="3"/>
    </row>
    <row r="352">
      <c r="A352" s="3"/>
      <c r="B352" s="3"/>
      <c r="C352" s="3"/>
      <c r="D352" s="3"/>
      <c r="E352" s="3"/>
      <c r="F352" s="3"/>
      <c r="G352" s="3"/>
    </row>
    <row r="353">
      <c r="A353" s="3"/>
      <c r="B353" s="3"/>
      <c r="C353" s="3"/>
      <c r="D353" s="3"/>
      <c r="E353" s="3"/>
      <c r="F353" s="3"/>
      <c r="G353" s="3"/>
    </row>
    <row r="354">
      <c r="A354" s="3"/>
      <c r="B354" s="3"/>
      <c r="C354" s="3"/>
      <c r="D354" s="3"/>
      <c r="E354" s="3"/>
      <c r="F354" s="3"/>
      <c r="G354" s="3"/>
    </row>
    <row r="355">
      <c r="A355" s="3"/>
      <c r="B355" s="3"/>
      <c r="C355" s="3"/>
      <c r="D355" s="3"/>
      <c r="E355" s="3"/>
      <c r="F355" s="3"/>
      <c r="G355" s="3"/>
    </row>
    <row r="356">
      <c r="A356" s="3"/>
      <c r="B356" s="3"/>
      <c r="C356" s="3"/>
      <c r="D356" s="3"/>
      <c r="E356" s="3"/>
      <c r="F356" s="3"/>
      <c r="G356" s="3"/>
    </row>
    <row r="357">
      <c r="A357" s="3"/>
      <c r="B357" s="3"/>
      <c r="C357" s="3"/>
      <c r="D357" s="3"/>
      <c r="E357" s="3"/>
      <c r="F357" s="3"/>
      <c r="G357" s="3"/>
    </row>
    <row r="358">
      <c r="A358" s="3"/>
      <c r="B358" s="3"/>
      <c r="C358" s="3"/>
      <c r="D358" s="3"/>
      <c r="E358" s="3"/>
      <c r="F358" s="3"/>
      <c r="G358" s="3"/>
    </row>
    <row r="359">
      <c r="A359" s="3"/>
      <c r="B359" s="3"/>
      <c r="C359" s="3"/>
      <c r="D359" s="3"/>
      <c r="E359" s="3"/>
      <c r="F359" s="3"/>
      <c r="G359" s="3"/>
    </row>
    <row r="360">
      <c r="A360" s="3"/>
      <c r="B360" s="3"/>
      <c r="C360" s="3"/>
      <c r="D360" s="3"/>
      <c r="E360" s="3"/>
      <c r="F360" s="3"/>
      <c r="G360" s="3"/>
    </row>
    <row r="361">
      <c r="A361" s="3"/>
      <c r="B361" s="3"/>
      <c r="C361" s="3"/>
      <c r="D361" s="3"/>
      <c r="E361" s="3"/>
      <c r="F361" s="3"/>
      <c r="G361" s="3"/>
    </row>
    <row r="362">
      <c r="A362" s="3"/>
      <c r="B362" s="3"/>
      <c r="C362" s="3"/>
      <c r="D362" s="3"/>
      <c r="E362" s="3"/>
      <c r="F362" s="3"/>
      <c r="G362" s="3"/>
    </row>
    <row r="363">
      <c r="A363" s="3"/>
      <c r="B363" s="3"/>
      <c r="C363" s="3"/>
      <c r="D363" s="3"/>
      <c r="E363" s="3"/>
      <c r="F363" s="3"/>
      <c r="G363" s="3"/>
    </row>
    <row r="364">
      <c r="A364" s="3"/>
      <c r="B364" s="3"/>
      <c r="C364" s="3"/>
      <c r="D364" s="3"/>
      <c r="E364" s="3"/>
      <c r="F364" s="3"/>
      <c r="G364" s="3"/>
    </row>
    <row r="365">
      <c r="A365" s="3"/>
      <c r="B365" s="3"/>
      <c r="C365" s="3"/>
      <c r="D365" s="3"/>
      <c r="E365" s="3"/>
      <c r="F365" s="3"/>
      <c r="G365" s="3"/>
    </row>
    <row r="366">
      <c r="A366" s="3"/>
      <c r="B366" s="3"/>
      <c r="C366" s="3"/>
      <c r="D366" s="3"/>
      <c r="E366" s="3"/>
      <c r="F366" s="3"/>
      <c r="G366" s="3"/>
    </row>
    <row r="367">
      <c r="A367" s="3"/>
      <c r="B367" s="3"/>
      <c r="C367" s="3"/>
      <c r="D367" s="3"/>
      <c r="E367" s="3"/>
      <c r="F367" s="3"/>
      <c r="G367" s="3"/>
    </row>
    <row r="368">
      <c r="A368" s="3"/>
      <c r="B368" s="3"/>
      <c r="C368" s="3"/>
      <c r="D368" s="3"/>
      <c r="E368" s="3"/>
      <c r="F368" s="3"/>
      <c r="G368" s="3"/>
    </row>
    <row r="369">
      <c r="A369" s="3"/>
      <c r="B369" s="3"/>
      <c r="C369" s="3"/>
      <c r="D369" s="3"/>
      <c r="E369" s="3"/>
      <c r="F369" s="3"/>
      <c r="G369" s="3"/>
    </row>
    <row r="370">
      <c r="A370" s="3"/>
      <c r="B370" s="3"/>
      <c r="C370" s="3"/>
      <c r="D370" s="3"/>
      <c r="E370" s="3"/>
      <c r="F370" s="3"/>
      <c r="G370" s="3"/>
    </row>
    <row r="371">
      <c r="A371" s="3"/>
      <c r="B371" s="3"/>
      <c r="C371" s="3"/>
      <c r="D371" s="3"/>
      <c r="E371" s="3"/>
      <c r="F371" s="3"/>
      <c r="G371" s="3"/>
    </row>
    <row r="372">
      <c r="A372" s="3"/>
      <c r="B372" s="3"/>
      <c r="C372" s="3"/>
      <c r="D372" s="3"/>
      <c r="E372" s="3"/>
      <c r="F372" s="3"/>
      <c r="G372" s="3"/>
    </row>
    <row r="373">
      <c r="A373" s="3"/>
      <c r="B373" s="3"/>
      <c r="C373" s="3"/>
      <c r="D373" s="3"/>
      <c r="E373" s="3"/>
      <c r="F373" s="3"/>
      <c r="G373" s="3"/>
    </row>
    <row r="374">
      <c r="A374" s="3"/>
      <c r="B374" s="3"/>
      <c r="C374" s="3"/>
      <c r="D374" s="3"/>
      <c r="E374" s="3"/>
      <c r="F374" s="3"/>
      <c r="G374" s="3"/>
    </row>
    <row r="375">
      <c r="A375" s="3"/>
      <c r="B375" s="3"/>
      <c r="C375" s="3"/>
      <c r="D375" s="3"/>
      <c r="E375" s="3"/>
      <c r="F375" s="3"/>
      <c r="G375" s="3"/>
    </row>
    <row r="376">
      <c r="A376" s="3"/>
      <c r="B376" s="3"/>
      <c r="C376" s="3"/>
      <c r="D376" s="3"/>
      <c r="E376" s="3"/>
      <c r="F376" s="3"/>
      <c r="G376" s="3"/>
    </row>
    <row r="377">
      <c r="A377" s="3"/>
      <c r="B377" s="3"/>
      <c r="C377" s="3"/>
      <c r="D377" s="3"/>
      <c r="E377" s="3"/>
      <c r="F377" s="3"/>
      <c r="G377" s="3"/>
    </row>
    <row r="378">
      <c r="A378" s="3"/>
      <c r="B378" s="3"/>
      <c r="C378" s="3"/>
      <c r="D378" s="3"/>
      <c r="E378" s="3"/>
      <c r="F378" s="3"/>
      <c r="G378" s="3"/>
    </row>
    <row r="379">
      <c r="A379" s="3"/>
      <c r="B379" s="3"/>
      <c r="C379" s="3"/>
      <c r="D379" s="3"/>
      <c r="E379" s="3"/>
      <c r="F379" s="3"/>
      <c r="G379" s="3"/>
    </row>
    <row r="380">
      <c r="A380" s="3"/>
      <c r="B380" s="3"/>
      <c r="C380" s="3"/>
      <c r="D380" s="3"/>
      <c r="E380" s="3"/>
      <c r="F380" s="3"/>
      <c r="G380" s="3"/>
    </row>
    <row r="381">
      <c r="A381" s="3"/>
      <c r="B381" s="3"/>
      <c r="C381" s="3"/>
      <c r="D381" s="3"/>
      <c r="E381" s="3"/>
      <c r="F381" s="3"/>
      <c r="G381" s="3"/>
    </row>
    <row r="382">
      <c r="A382" s="3"/>
      <c r="B382" s="3"/>
      <c r="C382" s="3"/>
      <c r="D382" s="3"/>
      <c r="E382" s="3"/>
      <c r="F382" s="3"/>
      <c r="G382" s="3"/>
    </row>
    <row r="383">
      <c r="A383" s="3"/>
      <c r="B383" s="3"/>
      <c r="C383" s="3"/>
      <c r="D383" s="3"/>
      <c r="E383" s="3"/>
      <c r="F383" s="3"/>
      <c r="G383" s="3"/>
    </row>
    <row r="384">
      <c r="A384" s="3"/>
      <c r="B384" s="3"/>
      <c r="C384" s="3"/>
      <c r="D384" s="3"/>
      <c r="E384" s="3"/>
      <c r="F384" s="3"/>
      <c r="G384" s="3"/>
    </row>
    <row r="385">
      <c r="A385" s="3"/>
      <c r="B385" s="3"/>
      <c r="C385" s="3"/>
      <c r="D385" s="3"/>
      <c r="E385" s="3"/>
      <c r="F385" s="3"/>
      <c r="G385" s="3"/>
    </row>
    <row r="386">
      <c r="A386" s="3"/>
      <c r="B386" s="3"/>
      <c r="C386" s="3"/>
      <c r="D386" s="3"/>
      <c r="E386" s="3"/>
      <c r="F386" s="3"/>
      <c r="G386" s="3"/>
    </row>
    <row r="387">
      <c r="A387" s="3"/>
      <c r="B387" s="3"/>
      <c r="C387" s="3"/>
      <c r="D387" s="3"/>
      <c r="E387" s="3"/>
      <c r="F387" s="3"/>
      <c r="G387" s="3"/>
    </row>
    <row r="388">
      <c r="A388" s="3"/>
      <c r="B388" s="3"/>
      <c r="C388" s="3"/>
      <c r="D388" s="3"/>
      <c r="E388" s="3"/>
      <c r="F388" s="3"/>
      <c r="G388" s="3"/>
    </row>
    <row r="389">
      <c r="A389" s="3"/>
      <c r="B389" s="3"/>
      <c r="C389" s="3"/>
      <c r="D389" s="3"/>
      <c r="E389" s="3"/>
      <c r="F389" s="3"/>
      <c r="G389" s="3"/>
    </row>
    <row r="390">
      <c r="A390" s="3"/>
      <c r="B390" s="3"/>
      <c r="C390" s="3"/>
      <c r="D390" s="3"/>
      <c r="E390" s="3"/>
      <c r="F390" s="3"/>
      <c r="G390" s="3"/>
    </row>
    <row r="391">
      <c r="A391" s="3"/>
      <c r="B391" s="3"/>
      <c r="C391" s="3"/>
      <c r="D391" s="3"/>
      <c r="E391" s="3"/>
      <c r="F391" s="3"/>
      <c r="G391" s="3"/>
    </row>
    <row r="392">
      <c r="A392" s="3"/>
      <c r="B392" s="3"/>
      <c r="C392" s="3"/>
      <c r="D392" s="3"/>
      <c r="E392" s="3"/>
      <c r="F392" s="3"/>
      <c r="G392" s="3"/>
    </row>
    <row r="393">
      <c r="A393" s="3"/>
      <c r="B393" s="3"/>
      <c r="C393" s="3"/>
      <c r="D393" s="3"/>
      <c r="E393" s="3"/>
      <c r="F393" s="3"/>
      <c r="G393" s="3"/>
    </row>
    <row r="394">
      <c r="A394" s="3"/>
      <c r="B394" s="3"/>
      <c r="C394" s="3"/>
      <c r="D394" s="3"/>
      <c r="E394" s="3"/>
      <c r="F394" s="3"/>
      <c r="G394" s="3"/>
    </row>
    <row r="395">
      <c r="A395" s="3"/>
      <c r="B395" s="3"/>
      <c r="C395" s="3"/>
      <c r="D395" s="3"/>
      <c r="E395" s="3"/>
      <c r="F395" s="3"/>
      <c r="G395" s="3"/>
    </row>
    <row r="396">
      <c r="A396" s="3"/>
      <c r="B396" s="3"/>
      <c r="C396" s="3"/>
      <c r="D396" s="3"/>
      <c r="E396" s="3"/>
      <c r="F396" s="3"/>
      <c r="G396" s="3"/>
    </row>
    <row r="397">
      <c r="A397" s="3"/>
      <c r="B397" s="3"/>
      <c r="C397" s="3"/>
      <c r="D397" s="3"/>
      <c r="E397" s="3"/>
      <c r="F397" s="3"/>
      <c r="G397" s="3"/>
    </row>
    <row r="398">
      <c r="A398" s="3"/>
      <c r="B398" s="3"/>
      <c r="C398" s="3"/>
      <c r="D398" s="3"/>
      <c r="E398" s="3"/>
      <c r="F398" s="3"/>
      <c r="G398" s="3"/>
    </row>
    <row r="399">
      <c r="A399" s="3"/>
      <c r="B399" s="3"/>
      <c r="C399" s="3"/>
      <c r="D399" s="3"/>
      <c r="E399" s="3"/>
      <c r="F399" s="3"/>
      <c r="G399" s="3"/>
    </row>
    <row r="400">
      <c r="A400" s="3"/>
      <c r="B400" s="3"/>
      <c r="C400" s="3"/>
      <c r="D400" s="3"/>
      <c r="E400" s="3"/>
      <c r="F400" s="3"/>
      <c r="G400" s="3"/>
    </row>
    <row r="401">
      <c r="A401" s="3"/>
      <c r="B401" s="3"/>
      <c r="C401" s="3"/>
      <c r="D401" s="3"/>
      <c r="E401" s="3"/>
      <c r="F401" s="3"/>
      <c r="G401" s="3"/>
    </row>
    <row r="402">
      <c r="A402" s="3"/>
      <c r="B402" s="3"/>
      <c r="C402" s="3"/>
      <c r="D402" s="3"/>
      <c r="E402" s="3"/>
      <c r="F402" s="3"/>
      <c r="G402" s="3"/>
    </row>
    <row r="403">
      <c r="A403" s="3"/>
      <c r="B403" s="3"/>
      <c r="C403" s="3"/>
      <c r="D403" s="3"/>
      <c r="E403" s="3"/>
      <c r="F403" s="3"/>
      <c r="G403" s="3"/>
    </row>
    <row r="404">
      <c r="A404" s="3"/>
      <c r="B404" s="3"/>
      <c r="C404" s="3"/>
      <c r="D404" s="3"/>
      <c r="E404" s="3"/>
      <c r="F404" s="3"/>
      <c r="G404" s="3"/>
    </row>
    <row r="405">
      <c r="A405" s="3"/>
      <c r="B405" s="3"/>
      <c r="C405" s="3"/>
      <c r="D405" s="3"/>
      <c r="E405" s="3"/>
      <c r="F405" s="3"/>
      <c r="G405" s="3"/>
    </row>
    <row r="406">
      <c r="A406" s="3"/>
      <c r="B406" s="3"/>
      <c r="C406" s="3"/>
      <c r="D406" s="3"/>
      <c r="E406" s="3"/>
      <c r="F406" s="3"/>
      <c r="G406" s="3"/>
    </row>
    <row r="407">
      <c r="A407" s="3"/>
      <c r="B407" s="3"/>
      <c r="C407" s="3"/>
      <c r="D407" s="3"/>
      <c r="E407" s="3"/>
      <c r="F407" s="3"/>
      <c r="G407" s="3"/>
    </row>
    <row r="408">
      <c r="A408" s="3"/>
      <c r="B408" s="3"/>
      <c r="C408" s="3"/>
      <c r="D408" s="3"/>
      <c r="E408" s="3"/>
      <c r="F408" s="3"/>
      <c r="G408" s="3"/>
    </row>
    <row r="409">
      <c r="A409" s="3"/>
      <c r="B409" s="3"/>
      <c r="C409" s="3"/>
      <c r="D409" s="3"/>
      <c r="E409" s="3"/>
      <c r="F409" s="3"/>
      <c r="G409" s="3"/>
    </row>
    <row r="410">
      <c r="A410" s="3"/>
      <c r="B410" s="3"/>
      <c r="C410" s="3"/>
      <c r="D410" s="3"/>
      <c r="E410" s="3"/>
      <c r="F410" s="3"/>
      <c r="G410" s="3"/>
    </row>
    <row r="411">
      <c r="A411" s="3"/>
      <c r="B411" s="3"/>
      <c r="C411" s="3"/>
      <c r="D411" s="3"/>
      <c r="E411" s="3"/>
      <c r="F411" s="3"/>
      <c r="G411" s="3"/>
    </row>
    <row r="412">
      <c r="A412" s="3"/>
      <c r="B412" s="3"/>
      <c r="C412" s="3"/>
      <c r="D412" s="3"/>
      <c r="E412" s="3"/>
      <c r="F412" s="3"/>
      <c r="G412" s="3"/>
    </row>
    <row r="413">
      <c r="A413" s="3"/>
      <c r="B413" s="3"/>
      <c r="C413" s="3"/>
      <c r="D413" s="3"/>
      <c r="E413" s="3"/>
      <c r="F413" s="3"/>
      <c r="G413" s="3"/>
    </row>
    <row r="414">
      <c r="A414" s="3"/>
      <c r="B414" s="3"/>
      <c r="C414" s="3"/>
      <c r="D414" s="3"/>
      <c r="E414" s="3"/>
      <c r="F414" s="3"/>
      <c r="G414" s="3"/>
    </row>
    <row r="415">
      <c r="A415" s="3"/>
      <c r="B415" s="3"/>
      <c r="C415" s="3"/>
      <c r="D415" s="3"/>
      <c r="E415" s="3"/>
      <c r="F415" s="3"/>
      <c r="G415" s="3"/>
    </row>
    <row r="416">
      <c r="A416" s="3"/>
      <c r="B416" s="3"/>
      <c r="C416" s="3"/>
      <c r="D416" s="3"/>
      <c r="E416" s="3"/>
      <c r="F416" s="3"/>
      <c r="G416" s="3"/>
    </row>
    <row r="417">
      <c r="A417" s="3"/>
      <c r="B417" s="3"/>
      <c r="C417" s="3"/>
      <c r="D417" s="3"/>
      <c r="E417" s="3"/>
      <c r="F417" s="3"/>
      <c r="G417" s="3"/>
    </row>
    <row r="418">
      <c r="A418" s="3"/>
      <c r="B418" s="3"/>
      <c r="C418" s="3"/>
      <c r="D418" s="3"/>
      <c r="E418" s="3"/>
      <c r="F418" s="3"/>
      <c r="G418" s="3"/>
    </row>
    <row r="419">
      <c r="A419" s="3"/>
      <c r="B419" s="3"/>
      <c r="C419" s="3"/>
      <c r="D419" s="3"/>
      <c r="E419" s="3"/>
      <c r="F419" s="3"/>
      <c r="G419" s="3"/>
    </row>
    <row r="420">
      <c r="A420" s="3"/>
      <c r="B420" s="3"/>
      <c r="C420" s="3"/>
      <c r="D420" s="3"/>
      <c r="E420" s="3"/>
      <c r="F420" s="3"/>
      <c r="G420" s="3"/>
    </row>
    <row r="421">
      <c r="A421" s="3"/>
      <c r="B421" s="3"/>
      <c r="C421" s="3"/>
      <c r="D421" s="3"/>
      <c r="E421" s="3"/>
      <c r="F421" s="3"/>
      <c r="G421" s="3"/>
    </row>
    <row r="422">
      <c r="A422" s="3"/>
      <c r="B422" s="3"/>
      <c r="C422" s="3"/>
      <c r="D422" s="3"/>
      <c r="E422" s="3"/>
      <c r="F422" s="3"/>
      <c r="G422" s="3"/>
    </row>
    <row r="423">
      <c r="A423" s="3"/>
      <c r="B423" s="3"/>
      <c r="C423" s="3"/>
      <c r="D423" s="3"/>
      <c r="E423" s="3"/>
      <c r="F423" s="3"/>
      <c r="G423" s="3"/>
    </row>
    <row r="424">
      <c r="A424" s="3"/>
      <c r="B424" s="3"/>
      <c r="C424" s="3"/>
      <c r="D424" s="3"/>
      <c r="E424" s="3"/>
      <c r="F424" s="3"/>
      <c r="G424" s="3"/>
    </row>
    <row r="425">
      <c r="A425" s="3"/>
      <c r="B425" s="3"/>
      <c r="C425" s="3"/>
      <c r="D425" s="3"/>
      <c r="E425" s="3"/>
      <c r="F425" s="3"/>
      <c r="G425" s="3"/>
    </row>
    <row r="426">
      <c r="A426" s="3"/>
      <c r="B426" s="3"/>
      <c r="C426" s="3"/>
      <c r="D426" s="3"/>
      <c r="E426" s="3"/>
      <c r="F426" s="3"/>
      <c r="G426" s="3"/>
    </row>
    <row r="427">
      <c r="A427" s="3"/>
      <c r="B427" s="3"/>
      <c r="C427" s="3"/>
      <c r="D427" s="3"/>
      <c r="E427" s="3"/>
      <c r="F427" s="3"/>
      <c r="G427" s="3"/>
    </row>
    <row r="428">
      <c r="A428" s="3"/>
      <c r="B428" s="3"/>
      <c r="C428" s="3"/>
      <c r="D428" s="3"/>
      <c r="E428" s="3"/>
      <c r="F428" s="3"/>
      <c r="G428" s="3"/>
    </row>
    <row r="429">
      <c r="A429" s="3"/>
      <c r="B429" s="3"/>
      <c r="C429" s="3"/>
      <c r="D429" s="3"/>
      <c r="E429" s="3"/>
      <c r="F429" s="3"/>
      <c r="G429" s="3"/>
    </row>
    <row r="430">
      <c r="A430" s="3"/>
      <c r="B430" s="3"/>
      <c r="C430" s="3"/>
      <c r="D430" s="3"/>
      <c r="E430" s="3"/>
      <c r="F430" s="3"/>
      <c r="G430" s="3"/>
    </row>
    <row r="431">
      <c r="A431" s="3"/>
      <c r="B431" s="3"/>
      <c r="C431" s="3"/>
      <c r="D431" s="3"/>
      <c r="E431" s="3"/>
      <c r="F431" s="3"/>
      <c r="G431" s="3"/>
    </row>
    <row r="432">
      <c r="A432" s="3"/>
      <c r="B432" s="3"/>
      <c r="C432" s="3"/>
      <c r="D432" s="3"/>
      <c r="E432" s="3"/>
      <c r="F432" s="3"/>
      <c r="G432" s="3"/>
    </row>
    <row r="433">
      <c r="A433" s="3"/>
      <c r="B433" s="3"/>
      <c r="C433" s="3"/>
      <c r="D433" s="3"/>
      <c r="E433" s="3"/>
      <c r="F433" s="3"/>
      <c r="G433" s="3"/>
    </row>
    <row r="434">
      <c r="A434" s="3"/>
      <c r="B434" s="3"/>
      <c r="C434" s="3"/>
      <c r="D434" s="3"/>
      <c r="E434" s="3"/>
      <c r="F434" s="3"/>
      <c r="G434" s="3"/>
    </row>
    <row r="435">
      <c r="A435" s="3"/>
      <c r="B435" s="3"/>
      <c r="C435" s="3"/>
      <c r="D435" s="3"/>
      <c r="E435" s="3"/>
      <c r="F435" s="3"/>
      <c r="G435" s="3"/>
    </row>
    <row r="436">
      <c r="A436" s="3"/>
      <c r="B436" s="3"/>
      <c r="C436" s="3"/>
      <c r="D436" s="3"/>
      <c r="E436" s="3"/>
      <c r="F436" s="3"/>
      <c r="G436" s="3"/>
    </row>
    <row r="437">
      <c r="A437" s="3"/>
      <c r="B437" s="3"/>
      <c r="C437" s="3"/>
      <c r="D437" s="3"/>
      <c r="E437" s="3"/>
      <c r="F437" s="3"/>
      <c r="G437" s="3"/>
    </row>
    <row r="438">
      <c r="A438" s="3"/>
      <c r="B438" s="3"/>
      <c r="C438" s="3"/>
      <c r="D438" s="3"/>
      <c r="E438" s="3"/>
      <c r="F438" s="3"/>
      <c r="G438" s="3"/>
    </row>
    <row r="439">
      <c r="A439" s="3"/>
      <c r="B439" s="3"/>
      <c r="C439" s="3"/>
      <c r="D439" s="3"/>
      <c r="E439" s="3"/>
      <c r="F439" s="3"/>
      <c r="G439" s="3"/>
    </row>
    <row r="440">
      <c r="A440" s="3"/>
      <c r="B440" s="3"/>
      <c r="C440" s="3"/>
      <c r="D440" s="3"/>
      <c r="E440" s="3"/>
      <c r="F440" s="3"/>
      <c r="G440" s="3"/>
    </row>
    <row r="441">
      <c r="A441" s="3"/>
      <c r="B441" s="3"/>
      <c r="C441" s="3"/>
      <c r="D441" s="3"/>
      <c r="E441" s="3"/>
      <c r="F441" s="3"/>
      <c r="G441" s="3"/>
    </row>
    <row r="442">
      <c r="A442" s="3"/>
      <c r="B442" s="3"/>
      <c r="C442" s="3"/>
      <c r="D442" s="3"/>
      <c r="E442" s="3"/>
      <c r="F442" s="3"/>
      <c r="G442" s="3"/>
    </row>
    <row r="443">
      <c r="A443" s="3"/>
      <c r="B443" s="3"/>
      <c r="C443" s="3"/>
      <c r="D443" s="3"/>
      <c r="E443" s="3"/>
      <c r="F443" s="3"/>
      <c r="G443" s="3"/>
    </row>
    <row r="444">
      <c r="A444" s="3"/>
      <c r="B444" s="3"/>
      <c r="C444" s="3"/>
      <c r="D444" s="3"/>
      <c r="E444" s="3"/>
      <c r="F444" s="3"/>
      <c r="G444" s="3"/>
    </row>
    <row r="445">
      <c r="A445" s="3"/>
      <c r="B445" s="3"/>
      <c r="C445" s="3"/>
      <c r="D445" s="3"/>
      <c r="E445" s="3"/>
      <c r="F445" s="3"/>
      <c r="G445" s="3"/>
    </row>
    <row r="446">
      <c r="A446" s="3"/>
      <c r="B446" s="3"/>
      <c r="C446" s="3"/>
      <c r="D446" s="3"/>
      <c r="E446" s="3"/>
      <c r="F446" s="3"/>
      <c r="G446" s="3"/>
    </row>
    <row r="447">
      <c r="A447" s="3"/>
      <c r="B447" s="3"/>
      <c r="C447" s="3"/>
      <c r="D447" s="3"/>
      <c r="E447" s="3"/>
      <c r="F447" s="3"/>
      <c r="G447" s="3"/>
    </row>
    <row r="448">
      <c r="A448" s="3"/>
      <c r="B448" s="3"/>
      <c r="C448" s="3"/>
      <c r="D448" s="3"/>
      <c r="E448" s="3"/>
      <c r="F448" s="3"/>
      <c r="G448" s="3"/>
    </row>
    <row r="449">
      <c r="A449" s="3"/>
      <c r="B449" s="3"/>
      <c r="C449" s="3"/>
      <c r="D449" s="3"/>
      <c r="E449" s="3"/>
      <c r="F449" s="3"/>
      <c r="G449" s="3"/>
    </row>
    <row r="450">
      <c r="A450" s="3"/>
      <c r="B450" s="3"/>
      <c r="C450" s="3"/>
      <c r="D450" s="3"/>
      <c r="E450" s="3"/>
      <c r="F450" s="3"/>
      <c r="G450" s="3"/>
    </row>
    <row r="451">
      <c r="A451" s="3"/>
      <c r="B451" s="3"/>
      <c r="C451" s="3"/>
      <c r="D451" s="3"/>
      <c r="E451" s="3"/>
      <c r="F451" s="3"/>
      <c r="G451" s="3"/>
    </row>
    <row r="452">
      <c r="A452" s="3"/>
      <c r="B452" s="3"/>
      <c r="C452" s="3"/>
      <c r="D452" s="3"/>
      <c r="E452" s="3"/>
      <c r="F452" s="3"/>
      <c r="G452" s="3"/>
    </row>
    <row r="453">
      <c r="A453" s="3"/>
      <c r="B453" s="3"/>
      <c r="C453" s="3"/>
      <c r="D453" s="3"/>
      <c r="E453" s="3"/>
      <c r="F453" s="3"/>
      <c r="G453" s="3"/>
    </row>
    <row r="454">
      <c r="A454" s="3"/>
      <c r="B454" s="3"/>
      <c r="C454" s="3"/>
      <c r="D454" s="3"/>
      <c r="E454" s="3"/>
      <c r="F454" s="3"/>
      <c r="G454" s="3"/>
    </row>
    <row r="455">
      <c r="A455" s="3"/>
      <c r="B455" s="3"/>
      <c r="C455" s="3"/>
      <c r="D455" s="3"/>
      <c r="E455" s="3"/>
      <c r="F455" s="3"/>
      <c r="G455" s="3"/>
    </row>
    <row r="456">
      <c r="A456" s="3"/>
      <c r="B456" s="3"/>
      <c r="C456" s="3"/>
      <c r="D456" s="3"/>
      <c r="E456" s="3"/>
      <c r="F456" s="3"/>
      <c r="G456" s="3"/>
    </row>
    <row r="457">
      <c r="A457" s="3"/>
      <c r="B457" s="3"/>
      <c r="C457" s="3"/>
      <c r="D457" s="3"/>
      <c r="E457" s="3"/>
      <c r="F457" s="3"/>
      <c r="G457" s="3"/>
    </row>
    <row r="458">
      <c r="A458" s="3"/>
      <c r="B458" s="3"/>
      <c r="C458" s="3"/>
      <c r="D458" s="3"/>
      <c r="E458" s="3"/>
      <c r="F458" s="3"/>
      <c r="G458" s="3"/>
    </row>
    <row r="459">
      <c r="A459" s="3"/>
      <c r="B459" s="3"/>
      <c r="C459" s="3"/>
      <c r="D459" s="3"/>
      <c r="E459" s="3"/>
      <c r="F459" s="3"/>
      <c r="G459" s="3"/>
    </row>
    <row r="460">
      <c r="A460" s="3"/>
      <c r="B460" s="3"/>
      <c r="C460" s="3"/>
      <c r="D460" s="3"/>
      <c r="E460" s="3"/>
      <c r="F460" s="3"/>
      <c r="G460" s="3"/>
    </row>
    <row r="461">
      <c r="A461" s="3"/>
      <c r="B461" s="3"/>
      <c r="C461" s="3"/>
      <c r="D461" s="3"/>
      <c r="E461" s="3"/>
      <c r="F461" s="3"/>
      <c r="G461" s="3"/>
    </row>
    <row r="462">
      <c r="A462" s="3"/>
      <c r="B462" s="3"/>
      <c r="C462" s="3"/>
      <c r="D462" s="3"/>
      <c r="E462" s="3"/>
      <c r="F462" s="3"/>
      <c r="G462" s="3"/>
    </row>
    <row r="463">
      <c r="A463" s="3"/>
      <c r="B463" s="3"/>
      <c r="C463" s="3"/>
      <c r="D463" s="3"/>
      <c r="E463" s="3"/>
      <c r="F463" s="3"/>
      <c r="G463" s="3"/>
    </row>
    <row r="464">
      <c r="A464" s="3"/>
      <c r="B464" s="3"/>
      <c r="C464" s="3"/>
      <c r="D464" s="3"/>
      <c r="E464" s="3"/>
      <c r="F464" s="3"/>
      <c r="G464" s="3"/>
    </row>
    <row r="465">
      <c r="A465" s="3"/>
      <c r="B465" s="3"/>
      <c r="C465" s="3"/>
      <c r="D465" s="3"/>
      <c r="E465" s="3"/>
      <c r="F465" s="3"/>
      <c r="G465" s="3"/>
    </row>
    <row r="466">
      <c r="A466" s="3"/>
      <c r="B466" s="3"/>
      <c r="C466" s="3"/>
      <c r="D466" s="3"/>
      <c r="E466" s="3"/>
      <c r="F466" s="3"/>
      <c r="G466" s="3"/>
    </row>
    <row r="467">
      <c r="A467" s="3"/>
      <c r="B467" s="3"/>
      <c r="C467" s="3"/>
      <c r="D467" s="3"/>
      <c r="E467" s="3"/>
      <c r="F467" s="3"/>
      <c r="G467" s="3"/>
    </row>
    <row r="468">
      <c r="A468" s="3"/>
      <c r="B468" s="3"/>
      <c r="C468" s="3"/>
      <c r="D468" s="3"/>
      <c r="E468" s="3"/>
      <c r="F468" s="3"/>
      <c r="G468" s="3"/>
    </row>
    <row r="469">
      <c r="A469" s="3"/>
      <c r="B469" s="3"/>
      <c r="C469" s="3"/>
      <c r="D469" s="3"/>
      <c r="E469" s="3"/>
      <c r="F469" s="3"/>
      <c r="G469" s="3"/>
    </row>
    <row r="470">
      <c r="A470" s="3"/>
      <c r="B470" s="3"/>
      <c r="C470" s="3"/>
      <c r="D470" s="3"/>
      <c r="E470" s="3"/>
      <c r="F470" s="3"/>
      <c r="G470" s="3"/>
    </row>
    <row r="471">
      <c r="A471" s="3"/>
      <c r="B471" s="3"/>
      <c r="C471" s="3"/>
      <c r="D471" s="3"/>
      <c r="E471" s="3"/>
      <c r="F471" s="3"/>
      <c r="G471" s="3"/>
    </row>
    <row r="472">
      <c r="A472" s="3"/>
      <c r="B472" s="3"/>
      <c r="C472" s="3"/>
      <c r="D472" s="3"/>
      <c r="E472" s="3"/>
      <c r="F472" s="3"/>
      <c r="G472" s="3"/>
    </row>
    <row r="473">
      <c r="A473" s="3"/>
      <c r="B473" s="3"/>
      <c r="C473" s="3"/>
      <c r="D473" s="3"/>
      <c r="E473" s="3"/>
      <c r="F473" s="3"/>
      <c r="G473" s="3"/>
    </row>
    <row r="474">
      <c r="A474" s="3"/>
      <c r="B474" s="3"/>
      <c r="C474" s="3"/>
      <c r="D474" s="3"/>
      <c r="E474" s="3"/>
      <c r="F474" s="3"/>
      <c r="G474" s="3"/>
    </row>
    <row r="475">
      <c r="A475" s="3"/>
      <c r="B475" s="3"/>
      <c r="C475" s="3"/>
      <c r="D475" s="3"/>
      <c r="E475" s="3"/>
      <c r="F475" s="3"/>
      <c r="G475" s="3"/>
    </row>
    <row r="476">
      <c r="A476" s="3"/>
      <c r="B476" s="3"/>
      <c r="C476" s="3"/>
      <c r="D476" s="3"/>
      <c r="E476" s="3"/>
      <c r="F476" s="3"/>
      <c r="G476" s="3"/>
    </row>
    <row r="477">
      <c r="A477" s="3"/>
      <c r="B477" s="3"/>
      <c r="C477" s="3"/>
      <c r="D477" s="3"/>
      <c r="E477" s="3"/>
      <c r="F477" s="3"/>
      <c r="G477" s="3"/>
    </row>
    <row r="478">
      <c r="A478" s="3"/>
      <c r="B478" s="3"/>
      <c r="C478" s="3"/>
      <c r="D478" s="3"/>
      <c r="E478" s="3"/>
      <c r="F478" s="3"/>
      <c r="G478" s="3"/>
    </row>
    <row r="479">
      <c r="A479" s="3"/>
      <c r="B479" s="3"/>
      <c r="C479" s="3"/>
      <c r="D479" s="3"/>
      <c r="E479" s="3"/>
      <c r="F479" s="3"/>
      <c r="G479" s="3"/>
    </row>
    <row r="480">
      <c r="A480" s="3"/>
      <c r="B480" s="3"/>
      <c r="C480" s="3"/>
      <c r="D480" s="3"/>
      <c r="E480" s="3"/>
      <c r="F480" s="3"/>
      <c r="G480" s="3"/>
    </row>
    <row r="481">
      <c r="A481" s="3"/>
      <c r="B481" s="3"/>
      <c r="C481" s="3"/>
      <c r="D481" s="3"/>
      <c r="E481" s="3"/>
      <c r="F481" s="3"/>
      <c r="G481" s="3"/>
    </row>
    <row r="482">
      <c r="A482" s="3"/>
      <c r="B482" s="3"/>
      <c r="C482" s="3"/>
      <c r="D482" s="3"/>
      <c r="E482" s="3"/>
      <c r="F482" s="3"/>
      <c r="G482" s="3"/>
    </row>
    <row r="483">
      <c r="A483" s="3"/>
      <c r="B483" s="3"/>
      <c r="C483" s="3"/>
      <c r="D483" s="3"/>
      <c r="E483" s="3"/>
      <c r="F483" s="3"/>
      <c r="G483" s="3"/>
    </row>
    <row r="484">
      <c r="A484" s="3"/>
      <c r="B484" s="3"/>
      <c r="C484" s="3"/>
      <c r="D484" s="3"/>
      <c r="E484" s="3"/>
      <c r="F484" s="3"/>
      <c r="G484" s="3"/>
    </row>
    <row r="485">
      <c r="A485" s="3"/>
      <c r="B485" s="3"/>
      <c r="C485" s="3"/>
      <c r="D485" s="3"/>
      <c r="E485" s="3"/>
      <c r="F485" s="3"/>
      <c r="G485" s="3"/>
    </row>
    <row r="486">
      <c r="A486" s="3"/>
      <c r="B486" s="3"/>
      <c r="C486" s="3"/>
      <c r="D486" s="3"/>
      <c r="E486" s="3"/>
      <c r="F486" s="3"/>
      <c r="G486" s="3"/>
    </row>
    <row r="487">
      <c r="A487" s="3"/>
      <c r="B487" s="3"/>
      <c r="C487" s="3"/>
      <c r="D487" s="3"/>
      <c r="E487" s="3"/>
      <c r="F487" s="3"/>
      <c r="G487" s="3"/>
    </row>
    <row r="488">
      <c r="A488" s="3"/>
      <c r="B488" s="3"/>
      <c r="C488" s="3"/>
      <c r="D488" s="3"/>
      <c r="E488" s="3"/>
      <c r="F488" s="3"/>
      <c r="G488" s="3"/>
    </row>
    <row r="489">
      <c r="A489" s="3"/>
      <c r="B489" s="3"/>
      <c r="C489" s="3"/>
      <c r="D489" s="3"/>
      <c r="E489" s="3"/>
      <c r="F489" s="3"/>
      <c r="G489" s="3"/>
    </row>
    <row r="490">
      <c r="A490" s="3"/>
      <c r="B490" s="3"/>
      <c r="C490" s="3"/>
      <c r="D490" s="3"/>
      <c r="E490" s="3"/>
      <c r="F490" s="3"/>
      <c r="G490" s="3"/>
    </row>
    <row r="491">
      <c r="A491" s="3"/>
      <c r="B491" s="3"/>
      <c r="C491" s="3"/>
      <c r="D491" s="3"/>
      <c r="E491" s="3"/>
      <c r="F491" s="3"/>
      <c r="G491" s="3"/>
    </row>
    <row r="492">
      <c r="A492" s="3"/>
      <c r="B492" s="3"/>
      <c r="C492" s="3"/>
      <c r="D492" s="3"/>
      <c r="E492" s="3"/>
      <c r="F492" s="3"/>
      <c r="G492" s="3"/>
    </row>
    <row r="493">
      <c r="A493" s="3"/>
      <c r="B493" s="3"/>
      <c r="C493" s="3"/>
      <c r="D493" s="3"/>
      <c r="E493" s="3"/>
      <c r="F493" s="3"/>
      <c r="G493" s="3"/>
    </row>
    <row r="494">
      <c r="A494" s="3"/>
      <c r="B494" s="3"/>
      <c r="C494" s="3"/>
      <c r="D494" s="3"/>
      <c r="E494" s="3"/>
      <c r="F494" s="3"/>
      <c r="G494" s="3"/>
    </row>
    <row r="495">
      <c r="A495" s="3"/>
      <c r="B495" s="3"/>
      <c r="C495" s="3"/>
      <c r="D495" s="3"/>
      <c r="E495" s="3"/>
      <c r="F495" s="3"/>
      <c r="G495" s="3"/>
    </row>
    <row r="496">
      <c r="A496" s="3"/>
      <c r="B496" s="3"/>
      <c r="C496" s="3"/>
      <c r="D496" s="3"/>
      <c r="E496" s="3"/>
      <c r="F496" s="3"/>
      <c r="G496" s="3"/>
    </row>
    <row r="497">
      <c r="A497" s="3"/>
      <c r="B497" s="3"/>
      <c r="C497" s="3"/>
      <c r="D497" s="3"/>
      <c r="E497" s="3"/>
      <c r="F497" s="3"/>
      <c r="G497" s="3"/>
    </row>
    <row r="498">
      <c r="A498" s="3"/>
      <c r="B498" s="3"/>
      <c r="C498" s="3"/>
      <c r="D498" s="3"/>
      <c r="E498" s="3"/>
      <c r="F498" s="3"/>
      <c r="G498" s="3"/>
    </row>
    <row r="499">
      <c r="A499" s="3"/>
      <c r="B499" s="3"/>
      <c r="C499" s="3"/>
      <c r="D499" s="3"/>
      <c r="E499" s="3"/>
      <c r="F499" s="3"/>
      <c r="G499" s="3"/>
    </row>
    <row r="500">
      <c r="A500" s="3"/>
      <c r="B500" s="3"/>
      <c r="C500" s="3"/>
      <c r="D500" s="3"/>
      <c r="E500" s="3"/>
      <c r="F500" s="3"/>
      <c r="G500" s="3"/>
    </row>
    <row r="501">
      <c r="A501" s="3"/>
      <c r="B501" s="3"/>
      <c r="C501" s="3"/>
      <c r="D501" s="3"/>
      <c r="E501" s="3"/>
      <c r="F501" s="3"/>
      <c r="G501" s="3"/>
    </row>
    <row r="502">
      <c r="A502" s="3"/>
      <c r="B502" s="3"/>
      <c r="C502" s="3"/>
      <c r="D502" s="3"/>
      <c r="E502" s="3"/>
      <c r="F502" s="3"/>
      <c r="G502" s="3"/>
    </row>
    <row r="503">
      <c r="A503" s="3"/>
      <c r="B503" s="3"/>
      <c r="C503" s="3"/>
      <c r="D503" s="3"/>
      <c r="E503" s="3"/>
      <c r="F503" s="3"/>
      <c r="G503" s="3"/>
    </row>
    <row r="504">
      <c r="A504" s="3"/>
      <c r="B504" s="3"/>
      <c r="C504" s="3"/>
      <c r="D504" s="3"/>
      <c r="E504" s="3"/>
      <c r="F504" s="3"/>
      <c r="G504" s="3"/>
    </row>
    <row r="505">
      <c r="A505" s="3"/>
      <c r="B505" s="3"/>
      <c r="C505" s="3"/>
      <c r="D505" s="3"/>
      <c r="E505" s="3"/>
      <c r="F505" s="3"/>
      <c r="G505" s="3"/>
    </row>
    <row r="506">
      <c r="A506" s="3"/>
      <c r="B506" s="3"/>
      <c r="C506" s="3"/>
      <c r="D506" s="3"/>
      <c r="E506" s="3"/>
      <c r="F506" s="3"/>
      <c r="G506" s="3"/>
    </row>
    <row r="507">
      <c r="A507" s="3"/>
      <c r="B507" s="3"/>
      <c r="C507" s="3"/>
      <c r="D507" s="3"/>
      <c r="E507" s="3"/>
      <c r="F507" s="3"/>
      <c r="G507" s="3"/>
    </row>
    <row r="508">
      <c r="A508" s="3"/>
      <c r="B508" s="3"/>
      <c r="C508" s="3"/>
      <c r="D508" s="3"/>
      <c r="E508" s="3"/>
      <c r="F508" s="3"/>
      <c r="G508" s="3"/>
    </row>
    <row r="509">
      <c r="A509" s="3"/>
      <c r="B509" s="3"/>
      <c r="C509" s="3"/>
      <c r="D509" s="3"/>
      <c r="E509" s="3"/>
      <c r="F509" s="3"/>
      <c r="G509" s="3"/>
    </row>
    <row r="510">
      <c r="A510" s="3"/>
      <c r="B510" s="3"/>
      <c r="C510" s="3"/>
      <c r="D510" s="3"/>
      <c r="E510" s="3"/>
      <c r="F510" s="3"/>
      <c r="G510" s="3"/>
    </row>
    <row r="511">
      <c r="A511" s="3"/>
      <c r="B511" s="3"/>
      <c r="C511" s="3"/>
      <c r="D511" s="3"/>
      <c r="E511" s="3"/>
      <c r="F511" s="3"/>
      <c r="G511" s="3"/>
    </row>
    <row r="512">
      <c r="A512" s="3"/>
      <c r="B512" s="3"/>
      <c r="C512" s="3"/>
      <c r="D512" s="3"/>
      <c r="E512" s="3"/>
      <c r="F512" s="3"/>
      <c r="G512" s="3"/>
    </row>
    <row r="513">
      <c r="A513" s="3"/>
      <c r="B513" s="3"/>
      <c r="C513" s="3"/>
      <c r="D513" s="3"/>
      <c r="E513" s="3"/>
      <c r="F513" s="3"/>
      <c r="G513" s="3"/>
    </row>
    <row r="514">
      <c r="A514" s="3"/>
      <c r="B514" s="3"/>
      <c r="C514" s="3"/>
      <c r="D514" s="3"/>
      <c r="E514" s="3"/>
      <c r="F514" s="3"/>
      <c r="G514" s="3"/>
    </row>
    <row r="515">
      <c r="A515" s="3"/>
      <c r="B515" s="3"/>
      <c r="C515" s="3"/>
      <c r="D515" s="3"/>
      <c r="E515" s="3"/>
      <c r="F515" s="3"/>
      <c r="G515" s="3"/>
    </row>
    <row r="516">
      <c r="A516" s="3"/>
      <c r="B516" s="3"/>
      <c r="C516" s="3"/>
      <c r="D516" s="3"/>
      <c r="E516" s="3"/>
      <c r="F516" s="3"/>
      <c r="G516" s="3"/>
    </row>
    <row r="517">
      <c r="A517" s="3"/>
      <c r="B517" s="3"/>
      <c r="C517" s="3"/>
      <c r="D517" s="3"/>
      <c r="E517" s="3"/>
      <c r="F517" s="3"/>
      <c r="G517" s="3"/>
    </row>
    <row r="518">
      <c r="A518" s="3"/>
      <c r="B518" s="3"/>
      <c r="C518" s="3"/>
      <c r="D518" s="3"/>
      <c r="E518" s="3"/>
      <c r="F518" s="3"/>
      <c r="G518" s="3"/>
    </row>
    <row r="519">
      <c r="A519" s="3"/>
      <c r="B519" s="3"/>
      <c r="C519" s="3"/>
      <c r="D519" s="3"/>
      <c r="E519" s="3"/>
      <c r="F519" s="3"/>
      <c r="G519" s="3"/>
    </row>
    <row r="520">
      <c r="A520" s="3"/>
      <c r="B520" s="3"/>
      <c r="C520" s="3"/>
      <c r="D520" s="3"/>
      <c r="E520" s="3"/>
      <c r="F520" s="3"/>
      <c r="G520" s="3"/>
    </row>
    <row r="521">
      <c r="A521" s="3"/>
      <c r="B521" s="3"/>
      <c r="C521" s="3"/>
      <c r="D521" s="3"/>
      <c r="E521" s="3"/>
      <c r="F521" s="3"/>
      <c r="G521" s="3"/>
    </row>
    <row r="522">
      <c r="A522" s="3"/>
      <c r="B522" s="3"/>
      <c r="C522" s="3"/>
      <c r="D522" s="3"/>
      <c r="E522" s="3"/>
      <c r="F522" s="3"/>
      <c r="G522" s="3"/>
    </row>
    <row r="523">
      <c r="A523" s="3"/>
      <c r="B523" s="3"/>
      <c r="C523" s="3"/>
      <c r="D523" s="3"/>
      <c r="E523" s="3"/>
      <c r="F523" s="3"/>
      <c r="G523" s="3"/>
    </row>
    <row r="524">
      <c r="A524" s="3"/>
      <c r="B524" s="3"/>
      <c r="C524" s="3"/>
      <c r="D524" s="3"/>
      <c r="E524" s="3"/>
      <c r="F524" s="3"/>
      <c r="G524" s="3"/>
    </row>
    <row r="525">
      <c r="A525" s="3"/>
      <c r="B525" s="3"/>
      <c r="C525" s="3"/>
      <c r="D525" s="3"/>
      <c r="E525" s="3"/>
      <c r="F525" s="3"/>
      <c r="G525" s="3"/>
    </row>
    <row r="526">
      <c r="A526" s="3"/>
      <c r="B526" s="3"/>
      <c r="C526" s="3"/>
      <c r="D526" s="3"/>
      <c r="E526" s="3"/>
      <c r="F526" s="3"/>
      <c r="G526" s="3"/>
    </row>
    <row r="527">
      <c r="A527" s="3"/>
      <c r="B527" s="3"/>
      <c r="C527" s="3"/>
      <c r="D527" s="3"/>
      <c r="E527" s="3"/>
      <c r="F527" s="3"/>
      <c r="G527" s="3"/>
    </row>
    <row r="528">
      <c r="A528" s="3"/>
      <c r="B528" s="3"/>
      <c r="C528" s="3"/>
      <c r="D528" s="3"/>
      <c r="E528" s="3"/>
      <c r="F528" s="3"/>
      <c r="G528" s="3"/>
    </row>
    <row r="529">
      <c r="A529" s="3"/>
      <c r="B529" s="3"/>
      <c r="C529" s="3"/>
      <c r="D529" s="3"/>
      <c r="E529" s="3"/>
      <c r="F529" s="3"/>
      <c r="G529" s="3"/>
    </row>
    <row r="530">
      <c r="A530" s="3"/>
      <c r="B530" s="3"/>
      <c r="C530" s="3"/>
      <c r="D530" s="3"/>
      <c r="E530" s="3"/>
      <c r="F530" s="3"/>
      <c r="G530" s="3"/>
    </row>
    <row r="531">
      <c r="A531" s="3"/>
      <c r="B531" s="3"/>
      <c r="C531" s="3"/>
      <c r="D531" s="3"/>
      <c r="E531" s="3"/>
      <c r="F531" s="3"/>
      <c r="G531" s="3"/>
    </row>
    <row r="532">
      <c r="A532" s="3"/>
      <c r="B532" s="3"/>
      <c r="C532" s="3"/>
      <c r="D532" s="3"/>
      <c r="E532" s="3"/>
      <c r="F532" s="3"/>
      <c r="G532" s="3"/>
    </row>
    <row r="533">
      <c r="A533" s="3"/>
      <c r="B533" s="3"/>
      <c r="C533" s="3"/>
      <c r="D533" s="3"/>
      <c r="E533" s="3"/>
      <c r="F533" s="3"/>
      <c r="G533" s="3"/>
    </row>
    <row r="534">
      <c r="A534" s="3"/>
      <c r="B534" s="3"/>
      <c r="C534" s="3"/>
      <c r="D534" s="3"/>
      <c r="E534" s="3"/>
      <c r="F534" s="3"/>
      <c r="G534" s="3"/>
    </row>
    <row r="535">
      <c r="A535" s="3"/>
      <c r="B535" s="3"/>
      <c r="C535" s="3"/>
      <c r="D535" s="3"/>
      <c r="E535" s="3"/>
      <c r="F535" s="3"/>
      <c r="G535" s="3"/>
    </row>
    <row r="536">
      <c r="A536" s="3"/>
      <c r="B536" s="3"/>
      <c r="C536" s="3"/>
      <c r="D536" s="3"/>
      <c r="E536" s="3"/>
      <c r="F536" s="3"/>
      <c r="G536" s="3"/>
    </row>
    <row r="537">
      <c r="A537" s="3"/>
      <c r="B537" s="3"/>
      <c r="C537" s="3"/>
      <c r="D537" s="3"/>
      <c r="E537" s="3"/>
      <c r="F537" s="3"/>
      <c r="G537" s="3"/>
    </row>
    <row r="538">
      <c r="A538" s="3"/>
      <c r="B538" s="3"/>
      <c r="C538" s="3"/>
      <c r="D538" s="3"/>
      <c r="E538" s="3"/>
      <c r="F538" s="3"/>
      <c r="G538" s="3"/>
    </row>
    <row r="539">
      <c r="A539" s="3"/>
      <c r="B539" s="3"/>
      <c r="C539" s="3"/>
      <c r="D539" s="3"/>
      <c r="E539" s="3"/>
      <c r="F539" s="3"/>
      <c r="G539" s="3"/>
    </row>
    <row r="540">
      <c r="A540" s="3"/>
      <c r="B540" s="3"/>
      <c r="C540" s="3"/>
      <c r="D540" s="3"/>
      <c r="E540" s="3"/>
      <c r="F540" s="3"/>
      <c r="G540" s="3"/>
    </row>
    <row r="541">
      <c r="A541" s="3"/>
      <c r="B541" s="3"/>
      <c r="C541" s="3"/>
      <c r="D541" s="3"/>
      <c r="E541" s="3"/>
      <c r="F541" s="3"/>
      <c r="G541" s="3"/>
    </row>
    <row r="542">
      <c r="A542" s="3"/>
      <c r="B542" s="3"/>
      <c r="C542" s="3"/>
      <c r="D542" s="3"/>
      <c r="E542" s="3"/>
      <c r="F542" s="3"/>
      <c r="G542" s="3"/>
    </row>
    <row r="543">
      <c r="A543" s="3"/>
      <c r="B543" s="3"/>
      <c r="C543" s="3"/>
      <c r="D543" s="3"/>
      <c r="E543" s="3"/>
      <c r="F543" s="3"/>
      <c r="G543" s="3"/>
    </row>
    <row r="544">
      <c r="A544" s="3"/>
      <c r="B544" s="3"/>
      <c r="C544" s="3"/>
      <c r="D544" s="3"/>
      <c r="E544" s="3"/>
      <c r="F544" s="3"/>
      <c r="G544" s="3"/>
    </row>
    <row r="545">
      <c r="A545" s="3"/>
      <c r="B545" s="3"/>
      <c r="C545" s="3"/>
      <c r="D545" s="3"/>
      <c r="E545" s="3"/>
      <c r="F545" s="3"/>
      <c r="G545" s="3"/>
    </row>
    <row r="546">
      <c r="A546" s="3"/>
      <c r="B546" s="3"/>
      <c r="C546" s="3"/>
      <c r="D546" s="3"/>
      <c r="E546" s="3"/>
      <c r="F546" s="3"/>
      <c r="G546" s="3"/>
    </row>
    <row r="547">
      <c r="A547" s="3"/>
      <c r="B547" s="3"/>
      <c r="C547" s="3"/>
      <c r="D547" s="3"/>
      <c r="E547" s="3"/>
      <c r="F547" s="3"/>
      <c r="G547" s="3"/>
    </row>
    <row r="548">
      <c r="A548" s="3"/>
      <c r="B548" s="3"/>
      <c r="C548" s="3"/>
      <c r="D548" s="3"/>
      <c r="E548" s="3"/>
      <c r="F548" s="3"/>
      <c r="G548" s="3"/>
    </row>
    <row r="549">
      <c r="A549" s="3"/>
      <c r="B549" s="3"/>
      <c r="C549" s="3"/>
      <c r="D549" s="3"/>
      <c r="E549" s="3"/>
      <c r="F549" s="3"/>
      <c r="G549" s="3"/>
    </row>
    <row r="550">
      <c r="A550" s="3"/>
      <c r="B550" s="3"/>
      <c r="C550" s="3"/>
      <c r="D550" s="3"/>
      <c r="E550" s="3"/>
      <c r="F550" s="3"/>
      <c r="G550" s="3"/>
    </row>
    <row r="551">
      <c r="A551" s="3"/>
      <c r="B551" s="3"/>
      <c r="C551" s="3"/>
      <c r="D551" s="3"/>
      <c r="E551" s="3"/>
      <c r="F551" s="3"/>
      <c r="G551" s="3"/>
    </row>
    <row r="552">
      <c r="A552" s="3"/>
      <c r="B552" s="3"/>
      <c r="C552" s="3"/>
      <c r="D552" s="3"/>
      <c r="E552" s="3"/>
      <c r="F552" s="3"/>
      <c r="G552" s="3"/>
    </row>
    <row r="553">
      <c r="A553" s="3"/>
      <c r="B553" s="3"/>
      <c r="C553" s="3"/>
      <c r="D553" s="3"/>
      <c r="E553" s="3"/>
      <c r="F553" s="3"/>
      <c r="G553" s="3"/>
    </row>
    <row r="554">
      <c r="A554" s="3"/>
      <c r="B554" s="3"/>
      <c r="C554" s="3"/>
      <c r="D554" s="3"/>
      <c r="E554" s="3"/>
      <c r="F554" s="3"/>
      <c r="G554" s="3"/>
    </row>
    <row r="555">
      <c r="A555" s="3"/>
      <c r="B555" s="3"/>
      <c r="C555" s="3"/>
      <c r="D555" s="3"/>
      <c r="E555" s="3"/>
      <c r="F555" s="3"/>
      <c r="G555" s="3"/>
    </row>
    <row r="556">
      <c r="A556" s="3"/>
      <c r="B556" s="3"/>
      <c r="C556" s="3"/>
      <c r="D556" s="3"/>
      <c r="E556" s="3"/>
      <c r="F556" s="3"/>
      <c r="G556" s="3"/>
    </row>
    <row r="557">
      <c r="A557" s="3"/>
      <c r="B557" s="3"/>
      <c r="C557" s="3"/>
      <c r="D557" s="3"/>
      <c r="E557" s="3"/>
      <c r="F557" s="3"/>
      <c r="G557" s="3"/>
    </row>
    <row r="558">
      <c r="A558" s="3"/>
      <c r="B558" s="3"/>
      <c r="C558" s="3"/>
      <c r="D558" s="3"/>
      <c r="E558" s="3"/>
      <c r="F558" s="3"/>
      <c r="G558" s="3"/>
    </row>
    <row r="559">
      <c r="A559" s="3"/>
      <c r="B559" s="3"/>
      <c r="C559" s="3"/>
      <c r="D559" s="3"/>
      <c r="E559" s="3"/>
      <c r="F559" s="3"/>
      <c r="G559" s="3"/>
    </row>
    <row r="560">
      <c r="A560" s="3"/>
      <c r="B560" s="3"/>
      <c r="C560" s="3"/>
      <c r="D560" s="3"/>
      <c r="E560" s="3"/>
      <c r="F560" s="3"/>
      <c r="G560" s="3"/>
    </row>
    <row r="561">
      <c r="A561" s="3"/>
      <c r="B561" s="3"/>
      <c r="C561" s="3"/>
      <c r="D561" s="3"/>
      <c r="E561" s="3"/>
      <c r="F561" s="3"/>
      <c r="G561" s="3"/>
    </row>
    <row r="562">
      <c r="A562" s="3"/>
      <c r="B562" s="3"/>
      <c r="C562" s="3"/>
      <c r="D562" s="3"/>
      <c r="E562" s="3"/>
      <c r="F562" s="3"/>
      <c r="G562" s="3"/>
    </row>
    <row r="563">
      <c r="A563" s="3"/>
      <c r="B563" s="3"/>
      <c r="C563" s="3"/>
      <c r="D563" s="3"/>
      <c r="E563" s="3"/>
      <c r="F563" s="3"/>
      <c r="G563" s="3"/>
    </row>
    <row r="564">
      <c r="A564" s="3"/>
      <c r="B564" s="3"/>
      <c r="C564" s="3"/>
      <c r="D564" s="3"/>
      <c r="E564" s="3"/>
      <c r="F564" s="3"/>
      <c r="G564" s="3"/>
    </row>
    <row r="565">
      <c r="A565" s="3"/>
      <c r="B565" s="3"/>
      <c r="C565" s="3"/>
      <c r="D565" s="3"/>
      <c r="E565" s="3"/>
      <c r="F565" s="3"/>
      <c r="G565" s="3"/>
    </row>
    <row r="566">
      <c r="A566" s="3"/>
      <c r="B566" s="3"/>
      <c r="C566" s="3"/>
      <c r="D566" s="3"/>
      <c r="E566" s="3"/>
      <c r="F566" s="3"/>
      <c r="G566" s="3"/>
    </row>
    <row r="567">
      <c r="A567" s="3"/>
      <c r="B567" s="3"/>
      <c r="C567" s="3"/>
      <c r="D567" s="3"/>
      <c r="E567" s="3"/>
      <c r="F567" s="3"/>
      <c r="G567" s="3"/>
    </row>
    <row r="568">
      <c r="A568" s="3"/>
      <c r="B568" s="3"/>
      <c r="C568" s="3"/>
      <c r="D568" s="3"/>
      <c r="E568" s="3"/>
      <c r="F568" s="3"/>
      <c r="G568" s="3"/>
    </row>
    <row r="569">
      <c r="A569" s="3"/>
      <c r="B569" s="3"/>
      <c r="C569" s="3"/>
      <c r="D569" s="3"/>
      <c r="E569" s="3"/>
      <c r="F569" s="3"/>
      <c r="G569" s="3"/>
    </row>
    <row r="570">
      <c r="A570" s="3"/>
      <c r="B570" s="3"/>
      <c r="C570" s="3"/>
      <c r="D570" s="3"/>
      <c r="E570" s="3"/>
      <c r="F570" s="3"/>
      <c r="G570" s="3"/>
    </row>
    <row r="571">
      <c r="A571" s="3"/>
      <c r="B571" s="3"/>
      <c r="C571" s="3"/>
      <c r="D571" s="3"/>
      <c r="E571" s="3"/>
      <c r="F571" s="3"/>
      <c r="G571" s="3"/>
    </row>
    <row r="572">
      <c r="A572" s="3"/>
      <c r="B572" s="3"/>
      <c r="C572" s="3"/>
      <c r="D572" s="3"/>
      <c r="E572" s="3"/>
      <c r="F572" s="3"/>
      <c r="G572" s="3"/>
    </row>
    <row r="573">
      <c r="A573" s="3"/>
      <c r="B573" s="3"/>
      <c r="C573" s="3"/>
      <c r="D573" s="3"/>
      <c r="E573" s="3"/>
      <c r="F573" s="3"/>
      <c r="G573" s="3"/>
    </row>
    <row r="574">
      <c r="A574" s="3"/>
      <c r="B574" s="3"/>
      <c r="C574" s="3"/>
      <c r="D574" s="3"/>
      <c r="E574" s="3"/>
      <c r="F574" s="3"/>
      <c r="G574" s="3"/>
    </row>
    <row r="575">
      <c r="A575" s="3"/>
      <c r="B575" s="3"/>
      <c r="C575" s="3"/>
      <c r="D575" s="3"/>
      <c r="E575" s="3"/>
      <c r="F575" s="3"/>
      <c r="G575" s="3"/>
    </row>
    <row r="576">
      <c r="A576" s="3"/>
      <c r="B576" s="3"/>
      <c r="C576" s="3"/>
      <c r="D576" s="3"/>
      <c r="E576" s="3"/>
      <c r="F576" s="3"/>
      <c r="G576" s="3"/>
    </row>
    <row r="577">
      <c r="A577" s="3"/>
      <c r="B577" s="3"/>
      <c r="C577" s="3"/>
      <c r="D577" s="3"/>
      <c r="E577" s="3"/>
      <c r="F577" s="3"/>
      <c r="G577" s="3"/>
    </row>
    <row r="578">
      <c r="A578" s="3"/>
      <c r="B578" s="3"/>
      <c r="C578" s="3"/>
      <c r="D578" s="3"/>
      <c r="E578" s="3"/>
      <c r="F578" s="3"/>
      <c r="G578" s="3"/>
    </row>
    <row r="579">
      <c r="A579" s="3"/>
      <c r="B579" s="3"/>
      <c r="C579" s="3"/>
      <c r="D579" s="3"/>
      <c r="E579" s="3"/>
      <c r="F579" s="3"/>
      <c r="G579" s="3"/>
    </row>
    <row r="580">
      <c r="A580" s="3"/>
      <c r="B580" s="3"/>
      <c r="C580" s="3"/>
      <c r="D580" s="3"/>
      <c r="E580" s="3"/>
      <c r="F580" s="3"/>
      <c r="G580" s="3"/>
    </row>
    <row r="581">
      <c r="A581" s="3"/>
      <c r="B581" s="3"/>
      <c r="C581" s="3"/>
      <c r="D581" s="3"/>
      <c r="E581" s="3"/>
      <c r="F581" s="3"/>
      <c r="G581" s="3"/>
    </row>
    <row r="582">
      <c r="A582" s="3"/>
      <c r="B582" s="3"/>
      <c r="C582" s="3"/>
      <c r="D582" s="3"/>
      <c r="E582" s="3"/>
      <c r="F582" s="3"/>
      <c r="G582" s="3"/>
    </row>
    <row r="583">
      <c r="A583" s="3"/>
      <c r="B583" s="3"/>
      <c r="C583" s="3"/>
      <c r="D583" s="3"/>
      <c r="E583" s="3"/>
      <c r="F583" s="3"/>
      <c r="G583" s="3"/>
    </row>
    <row r="584">
      <c r="A584" s="3"/>
      <c r="B584" s="3"/>
      <c r="C584" s="3"/>
      <c r="D584" s="3"/>
      <c r="E584" s="3"/>
      <c r="F584" s="3"/>
      <c r="G584" s="3"/>
    </row>
    <row r="585">
      <c r="A585" s="3"/>
      <c r="B585" s="3"/>
      <c r="C585" s="3"/>
      <c r="D585" s="3"/>
      <c r="E585" s="3"/>
      <c r="F585" s="3"/>
      <c r="G585" s="3"/>
    </row>
    <row r="586">
      <c r="A586" s="3"/>
      <c r="B586" s="3"/>
      <c r="C586" s="3"/>
      <c r="D586" s="3"/>
      <c r="E586" s="3"/>
      <c r="F586" s="3"/>
      <c r="G586" s="3"/>
    </row>
    <row r="587">
      <c r="A587" s="3"/>
      <c r="B587" s="3"/>
      <c r="C587" s="3"/>
      <c r="D587" s="3"/>
      <c r="E587" s="3"/>
      <c r="F587" s="3"/>
      <c r="G587" s="3"/>
    </row>
    <row r="588">
      <c r="A588" s="3"/>
      <c r="B588" s="3"/>
      <c r="C588" s="3"/>
      <c r="D588" s="3"/>
      <c r="E588" s="3"/>
      <c r="F588" s="3"/>
      <c r="G588" s="3"/>
    </row>
    <row r="589">
      <c r="A589" s="3"/>
      <c r="B589" s="3"/>
      <c r="C589" s="3"/>
      <c r="D589" s="3"/>
      <c r="E589" s="3"/>
      <c r="F589" s="3"/>
      <c r="G589" s="3"/>
    </row>
    <row r="590">
      <c r="A590" s="3"/>
      <c r="B590" s="3"/>
      <c r="C590" s="3"/>
      <c r="D590" s="3"/>
      <c r="E590" s="3"/>
      <c r="F590" s="3"/>
      <c r="G590" s="3"/>
    </row>
    <row r="591">
      <c r="A591" s="3"/>
      <c r="B591" s="3"/>
      <c r="C591" s="3"/>
      <c r="D591" s="3"/>
      <c r="E591" s="3"/>
      <c r="F591" s="3"/>
      <c r="G591" s="3"/>
    </row>
    <row r="592">
      <c r="A592" s="3"/>
      <c r="B592" s="3"/>
      <c r="C592" s="3"/>
      <c r="D592" s="3"/>
      <c r="E592" s="3"/>
      <c r="F592" s="3"/>
      <c r="G592" s="3"/>
    </row>
    <row r="593">
      <c r="A593" s="3"/>
      <c r="B593" s="3"/>
      <c r="C593" s="3"/>
      <c r="D593" s="3"/>
      <c r="E593" s="3"/>
      <c r="F593" s="3"/>
      <c r="G593" s="3"/>
    </row>
    <row r="594">
      <c r="A594" s="3"/>
      <c r="B594" s="3"/>
      <c r="C594" s="3"/>
      <c r="D594" s="3"/>
      <c r="E594" s="3"/>
      <c r="F594" s="3"/>
      <c r="G594" s="3"/>
    </row>
    <row r="595">
      <c r="A595" s="3"/>
      <c r="B595" s="3"/>
      <c r="C595" s="3"/>
      <c r="D595" s="3"/>
      <c r="E595" s="3"/>
      <c r="F595" s="3"/>
      <c r="G595" s="3"/>
    </row>
    <row r="596">
      <c r="A596" s="3"/>
      <c r="B596" s="3"/>
      <c r="C596" s="3"/>
      <c r="D596" s="3"/>
      <c r="E596" s="3"/>
      <c r="F596" s="3"/>
      <c r="G596" s="3"/>
    </row>
    <row r="597">
      <c r="A597" s="3"/>
      <c r="B597" s="3"/>
      <c r="C597" s="3"/>
      <c r="D597" s="3"/>
      <c r="E597" s="3"/>
      <c r="F597" s="3"/>
      <c r="G597" s="3"/>
    </row>
    <row r="598">
      <c r="A598" s="3"/>
      <c r="B598" s="3"/>
      <c r="C598" s="3"/>
      <c r="D598" s="3"/>
      <c r="E598" s="3"/>
      <c r="F598" s="3"/>
      <c r="G598" s="3"/>
    </row>
    <row r="599">
      <c r="A599" s="3"/>
      <c r="B599" s="3"/>
      <c r="C599" s="3"/>
      <c r="D599" s="3"/>
      <c r="E599" s="3"/>
      <c r="F599" s="3"/>
      <c r="G599" s="3"/>
    </row>
    <row r="600">
      <c r="A600" s="3"/>
      <c r="B600" s="3"/>
      <c r="C600" s="3"/>
      <c r="D600" s="3"/>
      <c r="E600" s="3"/>
      <c r="F600" s="3"/>
      <c r="G600" s="3"/>
    </row>
    <row r="601">
      <c r="A601" s="3"/>
      <c r="B601" s="3"/>
      <c r="C601" s="3"/>
      <c r="D601" s="3"/>
      <c r="E601" s="3"/>
      <c r="F601" s="3"/>
      <c r="G601" s="3"/>
    </row>
    <row r="602">
      <c r="A602" s="3"/>
      <c r="B602" s="3"/>
      <c r="C602" s="3"/>
      <c r="D602" s="3"/>
      <c r="E602" s="3"/>
      <c r="F602" s="3"/>
      <c r="G602" s="3"/>
    </row>
    <row r="603">
      <c r="A603" s="3"/>
      <c r="B603" s="3"/>
      <c r="C603" s="3"/>
      <c r="D603" s="3"/>
      <c r="E603" s="3"/>
      <c r="F603" s="3"/>
      <c r="G603" s="3"/>
    </row>
    <row r="604">
      <c r="A604" s="3"/>
      <c r="B604" s="3"/>
      <c r="C604" s="3"/>
      <c r="D604" s="3"/>
      <c r="E604" s="3"/>
      <c r="F604" s="3"/>
      <c r="G604" s="3"/>
    </row>
    <row r="605">
      <c r="A605" s="3"/>
      <c r="B605" s="3"/>
      <c r="C605" s="3"/>
      <c r="D605" s="3"/>
      <c r="E605" s="3"/>
      <c r="F605" s="3"/>
      <c r="G605" s="3"/>
    </row>
    <row r="606">
      <c r="A606" s="3"/>
      <c r="B606" s="3"/>
      <c r="C606" s="3"/>
      <c r="D606" s="3"/>
      <c r="E606" s="3"/>
      <c r="F606" s="3"/>
      <c r="G606" s="3"/>
    </row>
    <row r="607">
      <c r="A607" s="3"/>
      <c r="B607" s="3"/>
      <c r="C607" s="3"/>
      <c r="D607" s="3"/>
      <c r="E607" s="3"/>
      <c r="F607" s="3"/>
      <c r="G607" s="3"/>
    </row>
    <row r="608">
      <c r="A608" s="3"/>
      <c r="B608" s="3"/>
      <c r="C608" s="3"/>
      <c r="D608" s="3"/>
      <c r="E608" s="3"/>
      <c r="F608" s="3"/>
      <c r="G608" s="3"/>
    </row>
    <row r="609">
      <c r="A609" s="3"/>
      <c r="B609" s="3"/>
      <c r="C609" s="3"/>
      <c r="D609" s="3"/>
      <c r="E609" s="3"/>
      <c r="F609" s="3"/>
      <c r="G609" s="3"/>
    </row>
    <row r="610">
      <c r="A610" s="3"/>
      <c r="B610" s="3"/>
      <c r="C610" s="3"/>
      <c r="D610" s="3"/>
      <c r="E610" s="3"/>
      <c r="F610" s="3"/>
      <c r="G610" s="3"/>
    </row>
    <row r="611">
      <c r="A611" s="3"/>
      <c r="B611" s="3"/>
      <c r="C611" s="3"/>
      <c r="D611" s="3"/>
      <c r="E611" s="3"/>
      <c r="F611" s="3"/>
      <c r="G611" s="3"/>
    </row>
    <row r="612">
      <c r="A612" s="3"/>
      <c r="B612" s="3"/>
      <c r="C612" s="3"/>
      <c r="D612" s="3"/>
      <c r="E612" s="3"/>
      <c r="F612" s="3"/>
      <c r="G612" s="3"/>
    </row>
    <row r="613">
      <c r="A613" s="3"/>
      <c r="B613" s="3"/>
      <c r="C613" s="3"/>
      <c r="D613" s="3"/>
      <c r="E613" s="3"/>
      <c r="F613" s="3"/>
      <c r="G613" s="3"/>
    </row>
    <row r="614">
      <c r="A614" s="3"/>
      <c r="B614" s="3"/>
      <c r="C614" s="3"/>
      <c r="D614" s="3"/>
      <c r="E614" s="3"/>
      <c r="F614" s="3"/>
      <c r="G614" s="3"/>
    </row>
    <row r="615">
      <c r="A615" s="3"/>
      <c r="B615" s="3"/>
      <c r="C615" s="3"/>
      <c r="D615" s="3"/>
      <c r="E615" s="3"/>
      <c r="F615" s="3"/>
      <c r="G615" s="3"/>
    </row>
    <row r="616">
      <c r="A616" s="3"/>
      <c r="B616" s="3"/>
      <c r="C616" s="3"/>
      <c r="D616" s="3"/>
      <c r="E616" s="3"/>
      <c r="F616" s="3"/>
      <c r="G616" s="3"/>
    </row>
    <row r="617">
      <c r="A617" s="3"/>
      <c r="B617" s="3"/>
      <c r="C617" s="3"/>
      <c r="D617" s="3"/>
      <c r="E617" s="3"/>
      <c r="F617" s="3"/>
      <c r="G617" s="3"/>
    </row>
    <row r="618">
      <c r="A618" s="3"/>
      <c r="B618" s="3"/>
      <c r="C618" s="3"/>
      <c r="D618" s="3"/>
      <c r="E618" s="3"/>
      <c r="F618" s="3"/>
      <c r="G618" s="3"/>
    </row>
    <row r="619">
      <c r="A619" s="3"/>
      <c r="B619" s="3"/>
      <c r="C619" s="3"/>
      <c r="D619" s="3"/>
      <c r="E619" s="3"/>
      <c r="F619" s="3"/>
      <c r="G619" s="3"/>
    </row>
    <row r="620">
      <c r="A620" s="3"/>
      <c r="B620" s="3"/>
      <c r="C620" s="3"/>
      <c r="D620" s="3"/>
      <c r="E620" s="3"/>
      <c r="F620" s="3"/>
      <c r="G620" s="3"/>
    </row>
    <row r="621">
      <c r="A621" s="3"/>
      <c r="B621" s="3"/>
      <c r="C621" s="3"/>
      <c r="D621" s="3"/>
      <c r="E621" s="3"/>
      <c r="F621" s="3"/>
      <c r="G621" s="3"/>
    </row>
    <row r="622">
      <c r="A622" s="3"/>
      <c r="B622" s="3"/>
      <c r="C622" s="3"/>
      <c r="D622" s="3"/>
      <c r="E622" s="3"/>
      <c r="F622" s="3"/>
      <c r="G622" s="3"/>
    </row>
    <row r="623">
      <c r="A623" s="3"/>
      <c r="B623" s="3"/>
      <c r="C623" s="3"/>
      <c r="D623" s="3"/>
      <c r="E623" s="3"/>
      <c r="F623" s="3"/>
      <c r="G623" s="3"/>
    </row>
    <row r="624">
      <c r="A624" s="3"/>
      <c r="B624" s="3"/>
      <c r="C624" s="3"/>
      <c r="D624" s="3"/>
      <c r="E624" s="3"/>
      <c r="F624" s="3"/>
      <c r="G624" s="3"/>
    </row>
    <row r="625">
      <c r="A625" s="3"/>
      <c r="B625" s="3"/>
      <c r="C625" s="3"/>
      <c r="D625" s="3"/>
      <c r="E625" s="3"/>
      <c r="F625" s="3"/>
      <c r="G625" s="3"/>
    </row>
    <row r="626">
      <c r="A626" s="3"/>
      <c r="B626" s="3"/>
      <c r="C626" s="3"/>
      <c r="D626" s="3"/>
      <c r="E626" s="3"/>
      <c r="F626" s="3"/>
      <c r="G626" s="3"/>
    </row>
    <row r="627">
      <c r="A627" s="3"/>
      <c r="B627" s="3"/>
      <c r="C627" s="3"/>
      <c r="D627" s="3"/>
      <c r="E627" s="3"/>
      <c r="F627" s="3"/>
      <c r="G627" s="3"/>
    </row>
    <row r="628">
      <c r="A628" s="3"/>
      <c r="B628" s="3"/>
      <c r="C628" s="3"/>
      <c r="D628" s="3"/>
      <c r="E628" s="3"/>
      <c r="F628" s="3"/>
      <c r="G628" s="3"/>
    </row>
    <row r="629">
      <c r="A629" s="3"/>
      <c r="B629" s="3"/>
      <c r="C629" s="3"/>
      <c r="D629" s="3"/>
      <c r="E629" s="3"/>
      <c r="F629" s="3"/>
      <c r="G629" s="3"/>
    </row>
    <row r="630">
      <c r="A630" s="3"/>
      <c r="B630" s="3"/>
      <c r="C630" s="3"/>
      <c r="D630" s="3"/>
      <c r="E630" s="3"/>
      <c r="F630" s="3"/>
      <c r="G630" s="3"/>
    </row>
    <row r="631">
      <c r="A631" s="3"/>
      <c r="B631" s="3"/>
      <c r="C631" s="3"/>
      <c r="D631" s="3"/>
      <c r="E631" s="3"/>
      <c r="F631" s="3"/>
      <c r="G631" s="3"/>
    </row>
    <row r="632">
      <c r="A632" s="3"/>
      <c r="B632" s="3"/>
      <c r="C632" s="3"/>
      <c r="D632" s="3"/>
      <c r="E632" s="3"/>
      <c r="F632" s="3"/>
      <c r="G632" s="3"/>
    </row>
    <row r="633">
      <c r="A633" s="3"/>
      <c r="B633" s="3"/>
      <c r="C633" s="3"/>
      <c r="D633" s="3"/>
      <c r="E633" s="3"/>
      <c r="F633" s="3"/>
      <c r="G633" s="3"/>
    </row>
    <row r="634">
      <c r="A634" s="3"/>
      <c r="B634" s="3"/>
      <c r="C634" s="3"/>
      <c r="D634" s="3"/>
      <c r="E634" s="3"/>
      <c r="F634" s="3"/>
      <c r="G634" s="3"/>
    </row>
    <row r="635">
      <c r="A635" s="3"/>
      <c r="B635" s="3"/>
      <c r="C635" s="3"/>
      <c r="D635" s="3"/>
      <c r="E635" s="3"/>
      <c r="F635" s="3"/>
      <c r="G635" s="3"/>
    </row>
    <row r="636">
      <c r="A636" s="3"/>
      <c r="B636" s="3"/>
      <c r="C636" s="3"/>
      <c r="D636" s="3"/>
      <c r="E636" s="3"/>
      <c r="F636" s="3"/>
      <c r="G636" s="3"/>
    </row>
    <row r="637">
      <c r="A637" s="3"/>
      <c r="B637" s="3"/>
      <c r="C637" s="3"/>
      <c r="D637" s="3"/>
      <c r="E637" s="3"/>
      <c r="F637" s="3"/>
      <c r="G637" s="3"/>
    </row>
    <row r="638">
      <c r="A638" s="3"/>
      <c r="B638" s="3"/>
      <c r="C638" s="3"/>
      <c r="D638" s="3"/>
      <c r="E638" s="3"/>
      <c r="F638" s="3"/>
      <c r="G638" s="3"/>
    </row>
    <row r="639">
      <c r="A639" s="3"/>
      <c r="B639" s="3"/>
      <c r="C639" s="3"/>
      <c r="D639" s="3"/>
      <c r="E639" s="3"/>
      <c r="F639" s="3"/>
      <c r="G639" s="3"/>
    </row>
    <row r="640">
      <c r="A640" s="3"/>
      <c r="B640" s="3"/>
      <c r="C640" s="3"/>
      <c r="D640" s="3"/>
      <c r="E640" s="3"/>
      <c r="F640" s="3"/>
      <c r="G640" s="3"/>
    </row>
    <row r="641">
      <c r="A641" s="3"/>
      <c r="B641" s="3"/>
      <c r="C641" s="3"/>
      <c r="D641" s="3"/>
      <c r="E641" s="3"/>
      <c r="F641" s="3"/>
      <c r="G641" s="3"/>
    </row>
    <row r="642">
      <c r="A642" s="3"/>
      <c r="B642" s="3"/>
      <c r="C642" s="3"/>
      <c r="D642" s="3"/>
      <c r="E642" s="3"/>
      <c r="F642" s="3"/>
      <c r="G642" s="3"/>
    </row>
    <row r="643">
      <c r="A643" s="3"/>
      <c r="B643" s="3"/>
      <c r="C643" s="3"/>
      <c r="D643" s="3"/>
      <c r="E643" s="3"/>
      <c r="F643" s="3"/>
      <c r="G643" s="3"/>
    </row>
    <row r="644">
      <c r="A644" s="3"/>
      <c r="B644" s="3"/>
      <c r="C644" s="3"/>
      <c r="D644" s="3"/>
      <c r="E644" s="3"/>
      <c r="F644" s="3"/>
      <c r="G644" s="3"/>
    </row>
    <row r="645">
      <c r="A645" s="3"/>
      <c r="B645" s="3"/>
      <c r="C645" s="3"/>
      <c r="D645" s="3"/>
      <c r="E645" s="3"/>
      <c r="F645" s="3"/>
      <c r="G645" s="3"/>
    </row>
    <row r="646">
      <c r="A646" s="3"/>
      <c r="B646" s="3"/>
      <c r="C646" s="3"/>
      <c r="D646" s="3"/>
      <c r="E646" s="3"/>
      <c r="F646" s="3"/>
      <c r="G646" s="3"/>
    </row>
    <row r="647">
      <c r="A647" s="3"/>
      <c r="B647" s="3"/>
      <c r="C647" s="3"/>
      <c r="D647" s="3"/>
      <c r="E647" s="3"/>
      <c r="F647" s="3"/>
      <c r="G647" s="3"/>
    </row>
    <row r="648">
      <c r="A648" s="3"/>
      <c r="B648" s="3"/>
      <c r="C648" s="3"/>
      <c r="D648" s="3"/>
      <c r="E648" s="3"/>
      <c r="F648" s="3"/>
      <c r="G648" s="3"/>
    </row>
    <row r="649">
      <c r="A649" s="3"/>
      <c r="B649" s="3"/>
      <c r="C649" s="3"/>
      <c r="D649" s="3"/>
      <c r="E649" s="3"/>
      <c r="F649" s="3"/>
      <c r="G649" s="3"/>
    </row>
    <row r="650">
      <c r="A650" s="3"/>
      <c r="B650" s="3"/>
      <c r="C650" s="3"/>
      <c r="D650" s="3"/>
      <c r="E650" s="3"/>
      <c r="F650" s="3"/>
      <c r="G650" s="3"/>
    </row>
    <row r="651">
      <c r="A651" s="3"/>
      <c r="B651" s="3"/>
      <c r="C651" s="3"/>
      <c r="D651" s="3"/>
      <c r="E651" s="3"/>
      <c r="F651" s="3"/>
      <c r="G651" s="3"/>
    </row>
    <row r="652">
      <c r="A652" s="3"/>
      <c r="B652" s="3"/>
      <c r="C652" s="3"/>
      <c r="D652" s="3"/>
      <c r="E652" s="3"/>
      <c r="F652" s="3"/>
      <c r="G652" s="3"/>
    </row>
    <row r="653">
      <c r="A653" s="3"/>
      <c r="B653" s="3"/>
      <c r="C653" s="3"/>
      <c r="D653" s="3"/>
      <c r="E653" s="3"/>
      <c r="F653" s="3"/>
      <c r="G653" s="3"/>
    </row>
    <row r="654">
      <c r="A654" s="3"/>
      <c r="B654" s="3"/>
      <c r="C654" s="3"/>
      <c r="D654" s="3"/>
      <c r="E654" s="3"/>
      <c r="F654" s="3"/>
      <c r="G654" s="3"/>
    </row>
    <row r="655">
      <c r="A655" s="3"/>
      <c r="B655" s="3"/>
      <c r="C655" s="3"/>
      <c r="D655" s="3"/>
      <c r="E655" s="3"/>
      <c r="F655" s="3"/>
      <c r="G655" s="3"/>
    </row>
    <row r="656">
      <c r="A656" s="3"/>
      <c r="B656" s="3"/>
      <c r="C656" s="3"/>
      <c r="D656" s="3"/>
      <c r="E656" s="3"/>
      <c r="F656" s="3"/>
      <c r="G656" s="3"/>
    </row>
    <row r="657">
      <c r="A657" s="3"/>
      <c r="B657" s="3"/>
      <c r="C657" s="3"/>
      <c r="D657" s="3"/>
      <c r="E657" s="3"/>
      <c r="F657" s="3"/>
      <c r="G657" s="3"/>
    </row>
    <row r="658">
      <c r="A658" s="3"/>
      <c r="B658" s="3"/>
      <c r="C658" s="3"/>
      <c r="D658" s="3"/>
      <c r="E658" s="3"/>
      <c r="F658" s="3"/>
      <c r="G658" s="3"/>
    </row>
    <row r="659">
      <c r="A659" s="3"/>
      <c r="B659" s="3"/>
      <c r="C659" s="3"/>
      <c r="D659" s="3"/>
      <c r="E659" s="3"/>
      <c r="F659" s="3"/>
      <c r="G659" s="3"/>
    </row>
    <row r="660">
      <c r="A660" s="3"/>
      <c r="B660" s="3"/>
      <c r="C660" s="3"/>
      <c r="D660" s="3"/>
      <c r="E660" s="3"/>
      <c r="F660" s="3"/>
      <c r="G660" s="3"/>
    </row>
    <row r="661">
      <c r="A661" s="3"/>
      <c r="B661" s="3"/>
      <c r="C661" s="3"/>
      <c r="D661" s="3"/>
      <c r="E661" s="3"/>
      <c r="F661" s="3"/>
      <c r="G661" s="3"/>
    </row>
    <row r="662">
      <c r="A662" s="3"/>
      <c r="B662" s="3"/>
      <c r="C662" s="3"/>
      <c r="D662" s="3"/>
      <c r="E662" s="3"/>
      <c r="F662" s="3"/>
      <c r="G662" s="3"/>
    </row>
    <row r="663">
      <c r="A663" s="3"/>
      <c r="B663" s="3"/>
      <c r="C663" s="3"/>
      <c r="D663" s="3"/>
      <c r="E663" s="3"/>
      <c r="F663" s="3"/>
      <c r="G663" s="3"/>
    </row>
    <row r="664">
      <c r="A664" s="3"/>
      <c r="B664" s="3"/>
      <c r="C664" s="3"/>
      <c r="D664" s="3"/>
      <c r="E664" s="3"/>
      <c r="F664" s="3"/>
      <c r="G664" s="3"/>
    </row>
    <row r="665">
      <c r="A665" s="3"/>
      <c r="B665" s="3"/>
      <c r="C665" s="3"/>
      <c r="D665" s="3"/>
      <c r="E665" s="3"/>
      <c r="F665" s="3"/>
      <c r="G665" s="3"/>
    </row>
    <row r="666">
      <c r="A666" s="3"/>
      <c r="B666" s="3"/>
      <c r="C666" s="3"/>
      <c r="D666" s="3"/>
      <c r="E666" s="3"/>
      <c r="F666" s="3"/>
      <c r="G666" s="3"/>
    </row>
    <row r="667">
      <c r="A667" s="3"/>
      <c r="B667" s="3"/>
      <c r="C667" s="3"/>
      <c r="D667" s="3"/>
      <c r="E667" s="3"/>
      <c r="F667" s="3"/>
      <c r="G667" s="3"/>
    </row>
    <row r="668">
      <c r="A668" s="3"/>
      <c r="B668" s="3"/>
      <c r="C668" s="3"/>
      <c r="D668" s="3"/>
      <c r="E668" s="3"/>
      <c r="F668" s="3"/>
      <c r="G668" s="3"/>
    </row>
    <row r="669">
      <c r="A669" s="3"/>
      <c r="B669" s="3"/>
      <c r="C669" s="3"/>
      <c r="D669" s="3"/>
      <c r="E669" s="3"/>
      <c r="F669" s="3"/>
      <c r="G669" s="3"/>
    </row>
    <row r="670">
      <c r="A670" s="3"/>
      <c r="B670" s="3"/>
      <c r="C670" s="3"/>
      <c r="D670" s="3"/>
      <c r="E670" s="3"/>
      <c r="F670" s="3"/>
      <c r="G670" s="3"/>
    </row>
    <row r="671">
      <c r="A671" s="3"/>
      <c r="B671" s="3"/>
      <c r="C671" s="3"/>
      <c r="D671" s="3"/>
      <c r="E671" s="3"/>
      <c r="F671" s="3"/>
      <c r="G671" s="3"/>
    </row>
    <row r="672">
      <c r="A672" s="3"/>
      <c r="B672" s="3"/>
      <c r="C672" s="3"/>
      <c r="D672" s="3"/>
      <c r="E672" s="3"/>
      <c r="F672" s="3"/>
      <c r="G672" s="3"/>
    </row>
    <row r="673">
      <c r="A673" s="3"/>
      <c r="B673" s="3"/>
      <c r="C673" s="3"/>
      <c r="D673" s="3"/>
      <c r="E673" s="3"/>
      <c r="F673" s="3"/>
      <c r="G673" s="3"/>
    </row>
    <row r="674">
      <c r="A674" s="3"/>
      <c r="B674" s="3"/>
      <c r="C674" s="3"/>
      <c r="D674" s="3"/>
      <c r="E674" s="3"/>
      <c r="F674" s="3"/>
      <c r="G674" s="3"/>
    </row>
    <row r="675">
      <c r="A675" s="3"/>
      <c r="B675" s="3"/>
      <c r="C675" s="3"/>
      <c r="D675" s="3"/>
      <c r="E675" s="3"/>
      <c r="F675" s="3"/>
      <c r="G675" s="3"/>
    </row>
    <row r="676">
      <c r="A676" s="3"/>
      <c r="B676" s="3"/>
      <c r="C676" s="3"/>
      <c r="D676" s="3"/>
      <c r="E676" s="3"/>
      <c r="F676" s="3"/>
      <c r="G676" s="3"/>
    </row>
    <row r="677">
      <c r="A677" s="3"/>
      <c r="B677" s="3"/>
      <c r="C677" s="3"/>
      <c r="D677" s="3"/>
      <c r="E677" s="3"/>
      <c r="F677" s="3"/>
      <c r="G677" s="3"/>
    </row>
    <row r="678">
      <c r="A678" s="3"/>
      <c r="B678" s="3"/>
      <c r="C678" s="3"/>
      <c r="D678" s="3"/>
      <c r="E678" s="3"/>
      <c r="F678" s="3"/>
      <c r="G678" s="3"/>
    </row>
    <row r="679">
      <c r="A679" s="3"/>
      <c r="B679" s="3"/>
      <c r="C679" s="3"/>
      <c r="D679" s="3"/>
      <c r="E679" s="3"/>
      <c r="F679" s="3"/>
      <c r="G679" s="3"/>
    </row>
    <row r="680">
      <c r="A680" s="3"/>
      <c r="B680" s="3"/>
      <c r="C680" s="3"/>
      <c r="D680" s="3"/>
      <c r="E680" s="3"/>
      <c r="F680" s="3"/>
      <c r="G680" s="3"/>
    </row>
    <row r="681">
      <c r="A681" s="3"/>
      <c r="B681" s="3"/>
      <c r="C681" s="3"/>
      <c r="D681" s="3"/>
      <c r="E681" s="3"/>
      <c r="F681" s="3"/>
      <c r="G681" s="3"/>
    </row>
    <row r="682">
      <c r="A682" s="3"/>
      <c r="B682" s="3"/>
      <c r="C682" s="3"/>
      <c r="D682" s="3"/>
      <c r="E682" s="3"/>
      <c r="F682" s="3"/>
      <c r="G682" s="3"/>
    </row>
    <row r="683">
      <c r="A683" s="3"/>
      <c r="B683" s="3"/>
      <c r="C683" s="3"/>
      <c r="D683" s="3"/>
      <c r="E683" s="3"/>
      <c r="F683" s="3"/>
      <c r="G683" s="3"/>
    </row>
    <row r="684">
      <c r="A684" s="3"/>
      <c r="B684" s="3"/>
      <c r="C684" s="3"/>
      <c r="D684" s="3"/>
      <c r="E684" s="3"/>
      <c r="F684" s="3"/>
      <c r="G684" s="3"/>
    </row>
    <row r="685">
      <c r="A685" s="3"/>
      <c r="B685" s="3"/>
      <c r="C685" s="3"/>
      <c r="D685" s="3"/>
      <c r="E685" s="3"/>
      <c r="F685" s="3"/>
      <c r="G685" s="3"/>
    </row>
    <row r="686">
      <c r="A686" s="3"/>
      <c r="B686" s="3"/>
      <c r="C686" s="3"/>
      <c r="D686" s="3"/>
      <c r="E686" s="3"/>
      <c r="F686" s="3"/>
      <c r="G686" s="3"/>
    </row>
    <row r="687">
      <c r="A687" s="3"/>
      <c r="B687" s="3"/>
      <c r="C687" s="3"/>
      <c r="D687" s="3"/>
      <c r="E687" s="3"/>
      <c r="F687" s="3"/>
      <c r="G687" s="3"/>
    </row>
    <row r="688">
      <c r="A688" s="3"/>
      <c r="B688" s="3"/>
      <c r="C688" s="3"/>
      <c r="D688" s="3"/>
      <c r="E688" s="3"/>
      <c r="F688" s="3"/>
      <c r="G688" s="3"/>
    </row>
    <row r="689">
      <c r="A689" s="3"/>
      <c r="B689" s="3"/>
      <c r="C689" s="3"/>
      <c r="D689" s="3"/>
      <c r="E689" s="3"/>
      <c r="F689" s="3"/>
      <c r="G689" s="3"/>
    </row>
    <row r="690">
      <c r="A690" s="3"/>
      <c r="B690" s="3"/>
      <c r="C690" s="3"/>
      <c r="D690" s="3"/>
      <c r="E690" s="3"/>
      <c r="F690" s="3"/>
      <c r="G690" s="3"/>
    </row>
    <row r="691">
      <c r="A691" s="3"/>
      <c r="B691" s="3"/>
      <c r="C691" s="3"/>
      <c r="D691" s="3"/>
      <c r="E691" s="3"/>
      <c r="F691" s="3"/>
      <c r="G691" s="3"/>
    </row>
    <row r="692">
      <c r="A692" s="3"/>
      <c r="B692" s="3"/>
      <c r="C692" s="3"/>
      <c r="D692" s="3"/>
      <c r="E692" s="3"/>
      <c r="F692" s="3"/>
      <c r="G692" s="3"/>
    </row>
    <row r="693">
      <c r="A693" s="3"/>
      <c r="B693" s="3"/>
      <c r="C693" s="3"/>
      <c r="D693" s="3"/>
      <c r="E693" s="3"/>
      <c r="F693" s="3"/>
      <c r="G693" s="3"/>
    </row>
    <row r="694">
      <c r="A694" s="3"/>
      <c r="B694" s="3"/>
      <c r="C694" s="3"/>
      <c r="D694" s="3"/>
      <c r="E694" s="3"/>
      <c r="F694" s="3"/>
      <c r="G694" s="3"/>
    </row>
    <row r="695">
      <c r="A695" s="3"/>
      <c r="B695" s="3"/>
      <c r="C695" s="3"/>
      <c r="D695" s="3"/>
      <c r="E695" s="3"/>
      <c r="F695" s="3"/>
      <c r="G695" s="3"/>
    </row>
    <row r="696">
      <c r="A696" s="3"/>
      <c r="B696" s="3"/>
      <c r="C696" s="3"/>
      <c r="D696" s="3"/>
      <c r="E696" s="3"/>
      <c r="F696" s="3"/>
      <c r="G696" s="3"/>
    </row>
    <row r="697">
      <c r="A697" s="3"/>
      <c r="B697" s="3"/>
      <c r="C697" s="3"/>
      <c r="D697" s="3"/>
      <c r="E697" s="3"/>
      <c r="F697" s="3"/>
      <c r="G697" s="3"/>
    </row>
    <row r="698">
      <c r="A698" s="3"/>
      <c r="B698" s="3"/>
      <c r="C698" s="3"/>
      <c r="D698" s="3"/>
      <c r="E698" s="3"/>
      <c r="F698" s="3"/>
      <c r="G698" s="3"/>
    </row>
    <row r="699">
      <c r="A699" s="3"/>
      <c r="B699" s="3"/>
      <c r="C699" s="3"/>
      <c r="D699" s="3"/>
      <c r="E699" s="3"/>
      <c r="F699" s="3"/>
      <c r="G699" s="3"/>
    </row>
    <row r="700">
      <c r="A700" s="3"/>
      <c r="B700" s="3"/>
      <c r="C700" s="3"/>
      <c r="D700" s="3"/>
      <c r="E700" s="3"/>
      <c r="F700" s="3"/>
      <c r="G700" s="3"/>
    </row>
    <row r="701">
      <c r="A701" s="3"/>
      <c r="B701" s="3"/>
      <c r="C701" s="3"/>
      <c r="D701" s="3"/>
      <c r="E701" s="3"/>
      <c r="F701" s="3"/>
      <c r="G701" s="3"/>
    </row>
    <row r="702">
      <c r="A702" s="3"/>
      <c r="B702" s="3"/>
      <c r="C702" s="3"/>
      <c r="D702" s="3"/>
      <c r="E702" s="3"/>
      <c r="F702" s="3"/>
      <c r="G702" s="3"/>
    </row>
    <row r="703">
      <c r="A703" s="3"/>
      <c r="B703" s="3"/>
      <c r="C703" s="3"/>
      <c r="D703" s="3"/>
      <c r="E703" s="3"/>
      <c r="F703" s="3"/>
      <c r="G703" s="3"/>
    </row>
    <row r="704">
      <c r="A704" s="3"/>
      <c r="B704" s="3"/>
      <c r="C704" s="3"/>
      <c r="D704" s="3"/>
      <c r="E704" s="3"/>
      <c r="F704" s="3"/>
      <c r="G704" s="3"/>
    </row>
    <row r="705">
      <c r="A705" s="3"/>
      <c r="B705" s="3"/>
      <c r="C705" s="3"/>
      <c r="D705" s="3"/>
      <c r="E705" s="3"/>
      <c r="F705" s="3"/>
      <c r="G705" s="3"/>
    </row>
    <row r="706">
      <c r="A706" s="3"/>
      <c r="B706" s="3"/>
      <c r="C706" s="3"/>
      <c r="D706" s="3"/>
      <c r="E706" s="3"/>
      <c r="F706" s="3"/>
      <c r="G706" s="3"/>
    </row>
    <row r="707">
      <c r="A707" s="3"/>
      <c r="B707" s="3"/>
      <c r="C707" s="3"/>
      <c r="D707" s="3"/>
      <c r="E707" s="3"/>
      <c r="F707" s="3"/>
      <c r="G707" s="3"/>
    </row>
    <row r="708">
      <c r="A708" s="3"/>
      <c r="B708" s="3"/>
      <c r="C708" s="3"/>
      <c r="D708" s="3"/>
      <c r="E708" s="3"/>
      <c r="F708" s="3"/>
      <c r="G708" s="3"/>
    </row>
    <row r="709">
      <c r="A709" s="3"/>
      <c r="B709" s="3"/>
      <c r="C709" s="3"/>
      <c r="D709" s="3"/>
      <c r="E709" s="3"/>
      <c r="F709" s="3"/>
      <c r="G709" s="3"/>
    </row>
    <row r="710">
      <c r="A710" s="3"/>
      <c r="B710" s="3"/>
      <c r="C710" s="3"/>
      <c r="D710" s="3"/>
      <c r="E710" s="3"/>
      <c r="F710" s="3"/>
      <c r="G710" s="3"/>
    </row>
    <row r="711">
      <c r="A711" s="3"/>
      <c r="B711" s="3"/>
      <c r="C711" s="3"/>
      <c r="D711" s="3"/>
      <c r="E711" s="3"/>
      <c r="F711" s="3"/>
      <c r="G711" s="3"/>
    </row>
    <row r="712">
      <c r="A712" s="3"/>
      <c r="B712" s="3"/>
      <c r="C712" s="3"/>
      <c r="D712" s="3"/>
      <c r="E712" s="3"/>
      <c r="F712" s="3"/>
      <c r="G712" s="3"/>
    </row>
    <row r="713">
      <c r="A713" s="3"/>
      <c r="B713" s="3"/>
      <c r="C713" s="3"/>
      <c r="D713" s="3"/>
      <c r="E713" s="3"/>
      <c r="F713" s="3"/>
      <c r="G713" s="3"/>
    </row>
    <row r="714">
      <c r="A714" s="3"/>
      <c r="B714" s="3"/>
      <c r="C714" s="3"/>
      <c r="D714" s="3"/>
      <c r="E714" s="3"/>
      <c r="F714" s="3"/>
      <c r="G714" s="3"/>
    </row>
    <row r="715">
      <c r="A715" s="3"/>
      <c r="B715" s="3"/>
      <c r="C715" s="3"/>
      <c r="D715" s="3"/>
      <c r="E715" s="3"/>
      <c r="F715" s="3"/>
      <c r="G715" s="3"/>
    </row>
    <row r="716">
      <c r="A716" s="3"/>
      <c r="B716" s="3"/>
      <c r="C716" s="3"/>
      <c r="D716" s="3"/>
      <c r="E716" s="3"/>
      <c r="F716" s="3"/>
      <c r="G716" s="3"/>
    </row>
    <row r="717">
      <c r="A717" s="3"/>
      <c r="B717" s="3"/>
      <c r="C717" s="3"/>
      <c r="D717" s="3"/>
      <c r="E717" s="3"/>
      <c r="F717" s="3"/>
      <c r="G717" s="3"/>
    </row>
    <row r="718">
      <c r="A718" s="3"/>
      <c r="B718" s="3"/>
      <c r="C718" s="3"/>
      <c r="D718" s="3"/>
      <c r="E718" s="3"/>
      <c r="F718" s="3"/>
      <c r="G718" s="3"/>
    </row>
    <row r="719">
      <c r="A719" s="3"/>
      <c r="B719" s="3"/>
      <c r="C719" s="3"/>
      <c r="D719" s="3"/>
      <c r="E719" s="3"/>
      <c r="F719" s="3"/>
      <c r="G719" s="3"/>
    </row>
    <row r="720">
      <c r="A720" s="3"/>
      <c r="B720" s="3"/>
      <c r="C720" s="3"/>
      <c r="D720" s="3"/>
      <c r="E720" s="3"/>
      <c r="F720" s="3"/>
      <c r="G720" s="3"/>
    </row>
    <row r="721">
      <c r="A721" s="3"/>
      <c r="B721" s="3"/>
      <c r="C721" s="3"/>
      <c r="D721" s="3"/>
      <c r="E721" s="3"/>
      <c r="F721" s="3"/>
      <c r="G721" s="3"/>
    </row>
    <row r="722">
      <c r="A722" s="3"/>
      <c r="B722" s="3"/>
      <c r="C722" s="3"/>
      <c r="D722" s="3"/>
      <c r="E722" s="3"/>
      <c r="F722" s="3"/>
      <c r="G722" s="3"/>
    </row>
    <row r="723">
      <c r="A723" s="3"/>
      <c r="B723" s="3"/>
      <c r="C723" s="3"/>
      <c r="D723" s="3"/>
      <c r="E723" s="3"/>
      <c r="F723" s="3"/>
      <c r="G723" s="3"/>
    </row>
    <row r="724">
      <c r="A724" s="3"/>
      <c r="B724" s="3"/>
      <c r="C724" s="3"/>
      <c r="D724" s="3"/>
      <c r="E724" s="3"/>
      <c r="F724" s="3"/>
      <c r="G724" s="3"/>
    </row>
    <row r="725">
      <c r="A725" s="3"/>
      <c r="B725" s="3"/>
      <c r="C725" s="3"/>
      <c r="D725" s="3"/>
      <c r="E725" s="3"/>
      <c r="F725" s="3"/>
      <c r="G725" s="3"/>
    </row>
    <row r="726">
      <c r="A726" s="3"/>
      <c r="B726" s="3"/>
      <c r="C726" s="3"/>
      <c r="D726" s="3"/>
      <c r="E726" s="3"/>
      <c r="F726" s="3"/>
      <c r="G726" s="3"/>
    </row>
    <row r="727">
      <c r="A727" s="3"/>
      <c r="B727" s="3"/>
      <c r="C727" s="3"/>
      <c r="D727" s="3"/>
      <c r="E727" s="3"/>
      <c r="F727" s="3"/>
      <c r="G727" s="3"/>
    </row>
    <row r="728">
      <c r="A728" s="3"/>
      <c r="B728" s="3"/>
      <c r="C728" s="3"/>
      <c r="D728" s="3"/>
      <c r="E728" s="3"/>
      <c r="F728" s="3"/>
      <c r="G728" s="3"/>
    </row>
    <row r="729">
      <c r="A729" s="3"/>
      <c r="B729" s="3"/>
      <c r="C729" s="3"/>
      <c r="D729" s="3"/>
      <c r="E729" s="3"/>
      <c r="F729" s="3"/>
      <c r="G729" s="3"/>
    </row>
    <row r="730">
      <c r="A730" s="3"/>
      <c r="B730" s="3"/>
      <c r="C730" s="3"/>
      <c r="D730" s="3"/>
      <c r="E730" s="3"/>
      <c r="F730" s="3"/>
      <c r="G730" s="3"/>
    </row>
    <row r="731">
      <c r="A731" s="3"/>
      <c r="B731" s="3"/>
      <c r="C731" s="3"/>
      <c r="D731" s="3"/>
      <c r="E731" s="3"/>
      <c r="F731" s="3"/>
      <c r="G731" s="3"/>
    </row>
    <row r="732">
      <c r="A732" s="3"/>
      <c r="B732" s="3"/>
      <c r="C732" s="3"/>
      <c r="D732" s="3"/>
      <c r="E732" s="3"/>
      <c r="F732" s="3"/>
      <c r="G732" s="3"/>
    </row>
    <row r="733">
      <c r="A733" s="3"/>
      <c r="B733" s="3"/>
      <c r="C733" s="3"/>
      <c r="D733" s="3"/>
      <c r="E733" s="3"/>
      <c r="F733" s="3"/>
      <c r="G733" s="3"/>
    </row>
    <row r="734">
      <c r="A734" s="3"/>
      <c r="B734" s="3"/>
      <c r="C734" s="3"/>
      <c r="D734" s="3"/>
      <c r="E734" s="3"/>
      <c r="F734" s="3"/>
      <c r="G734" s="3"/>
    </row>
    <row r="735">
      <c r="A735" s="3"/>
      <c r="B735" s="3"/>
      <c r="C735" s="3"/>
      <c r="D735" s="3"/>
      <c r="E735" s="3"/>
      <c r="F735" s="3"/>
      <c r="G735" s="3"/>
    </row>
    <row r="736">
      <c r="A736" s="3"/>
      <c r="B736" s="3"/>
      <c r="C736" s="3"/>
      <c r="D736" s="3"/>
      <c r="E736" s="3"/>
      <c r="F736" s="3"/>
      <c r="G736" s="3"/>
    </row>
    <row r="737">
      <c r="A737" s="3"/>
      <c r="B737" s="3"/>
      <c r="C737" s="3"/>
      <c r="D737" s="3"/>
      <c r="E737" s="3"/>
      <c r="F737" s="3"/>
      <c r="G737" s="3"/>
    </row>
    <row r="738">
      <c r="A738" s="3"/>
      <c r="B738" s="3"/>
      <c r="C738" s="3"/>
      <c r="D738" s="3"/>
      <c r="E738" s="3"/>
      <c r="F738" s="3"/>
      <c r="G738" s="3"/>
    </row>
    <row r="739">
      <c r="A739" s="3"/>
      <c r="B739" s="3"/>
      <c r="C739" s="3"/>
      <c r="D739" s="3"/>
      <c r="E739" s="3"/>
      <c r="F739" s="3"/>
      <c r="G739" s="3"/>
    </row>
    <row r="740">
      <c r="A740" s="3"/>
      <c r="B740" s="3"/>
      <c r="C740" s="3"/>
      <c r="D740" s="3"/>
      <c r="E740" s="3"/>
      <c r="F740" s="3"/>
      <c r="G740" s="3"/>
    </row>
    <row r="741">
      <c r="A741" s="3"/>
      <c r="B741" s="3"/>
      <c r="C741" s="3"/>
      <c r="D741" s="3"/>
      <c r="E741" s="3"/>
      <c r="F741" s="3"/>
      <c r="G741" s="3"/>
    </row>
    <row r="742">
      <c r="A742" s="3"/>
      <c r="B742" s="3"/>
      <c r="C742" s="3"/>
      <c r="D742" s="3"/>
      <c r="E742" s="3"/>
      <c r="F742" s="3"/>
      <c r="G742" s="3"/>
    </row>
    <row r="743">
      <c r="A743" s="3"/>
      <c r="B743" s="3"/>
      <c r="C743" s="3"/>
      <c r="D743" s="3"/>
      <c r="E743" s="3"/>
      <c r="F743" s="3"/>
      <c r="G743" s="3"/>
    </row>
    <row r="744">
      <c r="A744" s="3"/>
      <c r="B744" s="3"/>
      <c r="C744" s="3"/>
      <c r="D744" s="3"/>
      <c r="E744" s="3"/>
      <c r="F744" s="3"/>
      <c r="G744" s="3"/>
    </row>
    <row r="745">
      <c r="A745" s="3"/>
      <c r="B745" s="3"/>
      <c r="C745" s="3"/>
      <c r="D745" s="3"/>
      <c r="E745" s="3"/>
      <c r="F745" s="3"/>
      <c r="G745" s="3"/>
    </row>
    <row r="746">
      <c r="A746" s="3"/>
      <c r="B746" s="3"/>
      <c r="C746" s="3"/>
      <c r="D746" s="3"/>
      <c r="E746" s="3"/>
      <c r="F746" s="3"/>
      <c r="G746" s="3"/>
    </row>
    <row r="747">
      <c r="A747" s="3"/>
      <c r="B747" s="3"/>
      <c r="C747" s="3"/>
      <c r="D747" s="3"/>
      <c r="E747" s="3"/>
      <c r="F747" s="3"/>
      <c r="G747" s="3"/>
    </row>
    <row r="748">
      <c r="A748" s="3"/>
      <c r="B748" s="3"/>
      <c r="C748" s="3"/>
      <c r="D748" s="3"/>
      <c r="E748" s="3"/>
      <c r="F748" s="3"/>
      <c r="G748" s="3"/>
    </row>
    <row r="749">
      <c r="A749" s="3"/>
      <c r="B749" s="3"/>
      <c r="C749" s="3"/>
      <c r="D749" s="3"/>
      <c r="E749" s="3"/>
      <c r="F749" s="3"/>
      <c r="G749" s="3"/>
    </row>
    <row r="750">
      <c r="A750" s="3"/>
      <c r="B750" s="3"/>
      <c r="C750" s="3"/>
      <c r="D750" s="3"/>
      <c r="E750" s="3"/>
      <c r="F750" s="3"/>
      <c r="G750" s="3"/>
    </row>
    <row r="751">
      <c r="A751" s="3"/>
      <c r="B751" s="3"/>
      <c r="C751" s="3"/>
      <c r="D751" s="3"/>
      <c r="E751" s="3"/>
      <c r="F751" s="3"/>
      <c r="G751" s="3"/>
    </row>
    <row r="752">
      <c r="A752" s="3"/>
      <c r="B752" s="3"/>
      <c r="C752" s="3"/>
      <c r="D752" s="3"/>
      <c r="E752" s="3"/>
      <c r="F752" s="3"/>
      <c r="G752" s="3"/>
    </row>
    <row r="753">
      <c r="A753" s="3"/>
      <c r="B753" s="3"/>
      <c r="C753" s="3"/>
      <c r="D753" s="3"/>
      <c r="E753" s="3"/>
      <c r="F753" s="3"/>
      <c r="G753" s="3"/>
    </row>
    <row r="754">
      <c r="A754" s="3"/>
      <c r="B754" s="3"/>
      <c r="C754" s="3"/>
      <c r="D754" s="3"/>
      <c r="E754" s="3"/>
      <c r="F754" s="3"/>
      <c r="G754" s="3"/>
    </row>
    <row r="755">
      <c r="A755" s="3"/>
      <c r="B755" s="3"/>
      <c r="C755" s="3"/>
      <c r="D755" s="3"/>
      <c r="E755" s="3"/>
      <c r="F755" s="3"/>
      <c r="G755" s="3"/>
    </row>
    <row r="756">
      <c r="A756" s="3"/>
      <c r="B756" s="3"/>
      <c r="C756" s="3"/>
      <c r="D756" s="3"/>
      <c r="E756" s="3"/>
      <c r="F756" s="3"/>
      <c r="G756" s="3"/>
    </row>
    <row r="757">
      <c r="A757" s="3"/>
      <c r="B757" s="3"/>
      <c r="C757" s="3"/>
      <c r="D757" s="3"/>
      <c r="E757" s="3"/>
      <c r="F757" s="3"/>
      <c r="G757" s="3"/>
    </row>
    <row r="758">
      <c r="A758" s="3"/>
      <c r="B758" s="3"/>
      <c r="C758" s="3"/>
      <c r="D758" s="3"/>
      <c r="E758" s="3"/>
      <c r="F758" s="3"/>
      <c r="G758" s="3"/>
    </row>
    <row r="759">
      <c r="A759" s="3"/>
      <c r="B759" s="3"/>
      <c r="C759" s="3"/>
      <c r="D759" s="3"/>
      <c r="E759" s="3"/>
      <c r="F759" s="3"/>
      <c r="G759" s="3"/>
    </row>
    <row r="760">
      <c r="A760" s="3"/>
      <c r="B760" s="3"/>
      <c r="C760" s="3"/>
      <c r="D760" s="3"/>
      <c r="E760" s="3"/>
      <c r="F760" s="3"/>
      <c r="G760" s="3"/>
    </row>
    <row r="761">
      <c r="A761" s="3"/>
      <c r="B761" s="3"/>
      <c r="C761" s="3"/>
      <c r="D761" s="3"/>
      <c r="E761" s="3"/>
      <c r="F761" s="3"/>
      <c r="G761" s="3"/>
    </row>
    <row r="762">
      <c r="A762" s="3"/>
      <c r="B762" s="3"/>
      <c r="C762" s="3"/>
      <c r="D762" s="3"/>
      <c r="E762" s="3"/>
      <c r="F762" s="3"/>
      <c r="G762" s="3"/>
    </row>
    <row r="763">
      <c r="A763" s="3"/>
      <c r="B763" s="3"/>
      <c r="C763" s="3"/>
      <c r="D763" s="3"/>
      <c r="E763" s="3"/>
      <c r="F763" s="3"/>
      <c r="G763" s="3"/>
    </row>
    <row r="764">
      <c r="A764" s="3"/>
      <c r="B764" s="3"/>
      <c r="C764" s="3"/>
      <c r="D764" s="3"/>
      <c r="E764" s="3"/>
      <c r="F764" s="3"/>
      <c r="G764" s="3"/>
    </row>
    <row r="765">
      <c r="A765" s="3"/>
      <c r="B765" s="3"/>
      <c r="C765" s="3"/>
      <c r="D765" s="3"/>
      <c r="E765" s="3"/>
      <c r="F765" s="3"/>
      <c r="G765" s="3"/>
    </row>
    <row r="766">
      <c r="A766" s="3"/>
      <c r="B766" s="3"/>
      <c r="C766" s="3"/>
      <c r="D766" s="3"/>
      <c r="E766" s="3"/>
      <c r="F766" s="3"/>
      <c r="G766" s="3"/>
    </row>
    <row r="767">
      <c r="A767" s="3"/>
      <c r="B767" s="3"/>
      <c r="C767" s="3"/>
      <c r="D767" s="3"/>
      <c r="E767" s="3"/>
      <c r="F767" s="3"/>
      <c r="G767" s="3"/>
    </row>
    <row r="768">
      <c r="A768" s="3"/>
      <c r="B768" s="3"/>
      <c r="C768" s="3"/>
      <c r="D768" s="3"/>
      <c r="E768" s="3"/>
      <c r="F768" s="3"/>
      <c r="G768" s="3"/>
    </row>
    <row r="769">
      <c r="A769" s="3"/>
      <c r="B769" s="3"/>
      <c r="C769" s="3"/>
      <c r="D769" s="3"/>
      <c r="E769" s="3"/>
      <c r="F769" s="3"/>
      <c r="G769" s="3"/>
    </row>
    <row r="770">
      <c r="A770" s="3"/>
      <c r="B770" s="3"/>
      <c r="C770" s="3"/>
      <c r="D770" s="3"/>
      <c r="E770" s="3"/>
      <c r="F770" s="3"/>
      <c r="G770" s="3"/>
    </row>
    <row r="771">
      <c r="A771" s="3"/>
      <c r="B771" s="3"/>
      <c r="C771" s="3"/>
      <c r="D771" s="3"/>
      <c r="E771" s="3"/>
      <c r="F771" s="3"/>
      <c r="G771" s="3"/>
    </row>
    <row r="772">
      <c r="A772" s="3"/>
      <c r="B772" s="3"/>
      <c r="C772" s="3"/>
      <c r="D772" s="3"/>
      <c r="E772" s="3"/>
      <c r="F772" s="3"/>
      <c r="G772" s="3"/>
    </row>
    <row r="773">
      <c r="A773" s="3"/>
      <c r="B773" s="3"/>
      <c r="C773" s="3"/>
      <c r="D773" s="3"/>
      <c r="E773" s="3"/>
      <c r="F773" s="3"/>
      <c r="G773" s="3"/>
    </row>
    <row r="774">
      <c r="A774" s="3"/>
      <c r="B774" s="3"/>
      <c r="C774" s="3"/>
      <c r="D774" s="3"/>
      <c r="E774" s="3"/>
      <c r="F774" s="3"/>
      <c r="G774" s="3"/>
    </row>
    <row r="775">
      <c r="A775" s="3"/>
      <c r="B775" s="3"/>
      <c r="C775" s="3"/>
      <c r="D775" s="3"/>
      <c r="E775" s="3"/>
      <c r="F775" s="3"/>
      <c r="G775" s="3"/>
    </row>
    <row r="776">
      <c r="A776" s="3"/>
      <c r="B776" s="3"/>
      <c r="C776" s="3"/>
      <c r="D776" s="3"/>
      <c r="E776" s="3"/>
      <c r="F776" s="3"/>
      <c r="G776" s="3"/>
    </row>
    <row r="777">
      <c r="A777" s="3"/>
      <c r="B777" s="3"/>
      <c r="C777" s="3"/>
      <c r="D777" s="3"/>
      <c r="E777" s="3"/>
      <c r="F777" s="3"/>
      <c r="G777" s="3"/>
    </row>
    <row r="778">
      <c r="A778" s="3"/>
      <c r="B778" s="3"/>
      <c r="C778" s="3"/>
      <c r="D778" s="3"/>
      <c r="E778" s="3"/>
      <c r="F778" s="3"/>
      <c r="G778" s="3"/>
    </row>
    <row r="779">
      <c r="A779" s="3"/>
      <c r="B779" s="3"/>
      <c r="C779" s="3"/>
      <c r="D779" s="3"/>
      <c r="E779" s="3"/>
      <c r="F779" s="3"/>
      <c r="G779" s="3"/>
    </row>
    <row r="780">
      <c r="A780" s="3"/>
      <c r="B780" s="3"/>
      <c r="C780" s="3"/>
      <c r="D780" s="3"/>
      <c r="E780" s="3"/>
      <c r="F780" s="3"/>
      <c r="G780" s="3"/>
    </row>
    <row r="781">
      <c r="A781" s="3"/>
      <c r="B781" s="3"/>
      <c r="C781" s="3"/>
      <c r="D781" s="3"/>
      <c r="E781" s="3"/>
      <c r="F781" s="3"/>
      <c r="G781" s="3"/>
    </row>
    <row r="782">
      <c r="A782" s="3"/>
      <c r="B782" s="3"/>
      <c r="C782" s="3"/>
      <c r="D782" s="3"/>
      <c r="E782" s="3"/>
      <c r="F782" s="3"/>
      <c r="G782" s="3"/>
    </row>
    <row r="783">
      <c r="A783" s="3"/>
      <c r="B783" s="3"/>
      <c r="C783" s="3"/>
      <c r="D783" s="3"/>
      <c r="E783" s="3"/>
      <c r="F783" s="3"/>
      <c r="G783" s="3"/>
    </row>
    <row r="784">
      <c r="A784" s="3"/>
      <c r="B784" s="3"/>
      <c r="C784" s="3"/>
      <c r="D784" s="3"/>
      <c r="E784" s="3"/>
      <c r="F784" s="3"/>
      <c r="G784" s="3"/>
    </row>
    <row r="785">
      <c r="A785" s="3"/>
      <c r="B785" s="3"/>
      <c r="C785" s="3"/>
      <c r="D785" s="3"/>
      <c r="E785" s="3"/>
      <c r="F785" s="3"/>
      <c r="G785" s="3"/>
    </row>
    <row r="786">
      <c r="A786" s="3"/>
      <c r="B786" s="3"/>
      <c r="C786" s="3"/>
      <c r="D786" s="3"/>
      <c r="E786" s="3"/>
      <c r="F786" s="3"/>
      <c r="G786" s="3"/>
    </row>
    <row r="787">
      <c r="A787" s="3"/>
      <c r="B787" s="3"/>
      <c r="C787" s="3"/>
      <c r="D787" s="3"/>
      <c r="E787" s="3"/>
      <c r="F787" s="3"/>
      <c r="G787" s="3"/>
    </row>
    <row r="788">
      <c r="A788" s="3"/>
      <c r="B788" s="3"/>
      <c r="C788" s="3"/>
      <c r="D788" s="3"/>
      <c r="E788" s="3"/>
      <c r="F788" s="3"/>
      <c r="G788" s="3"/>
    </row>
    <row r="789">
      <c r="A789" s="3"/>
      <c r="B789" s="3"/>
      <c r="C789" s="3"/>
      <c r="D789" s="3"/>
      <c r="E789" s="3"/>
      <c r="F789" s="3"/>
      <c r="G789" s="3"/>
    </row>
    <row r="790">
      <c r="A790" s="3"/>
      <c r="B790" s="3"/>
      <c r="C790" s="3"/>
      <c r="D790" s="3"/>
      <c r="E790" s="3"/>
      <c r="F790" s="3"/>
      <c r="G790" s="3"/>
    </row>
    <row r="791">
      <c r="A791" s="3"/>
      <c r="B791" s="3"/>
      <c r="C791" s="3"/>
      <c r="D791" s="3"/>
      <c r="E791" s="3"/>
      <c r="F791" s="3"/>
      <c r="G791" s="3"/>
    </row>
    <row r="792">
      <c r="A792" s="3"/>
      <c r="B792" s="3"/>
      <c r="C792" s="3"/>
      <c r="D792" s="3"/>
      <c r="E792" s="3"/>
      <c r="F792" s="3"/>
      <c r="G792" s="3"/>
    </row>
    <row r="793">
      <c r="A793" s="3"/>
      <c r="B793" s="3"/>
      <c r="C793" s="3"/>
      <c r="D793" s="3"/>
      <c r="E793" s="3"/>
      <c r="F793" s="3"/>
      <c r="G793" s="3"/>
    </row>
    <row r="794">
      <c r="A794" s="3"/>
      <c r="B794" s="3"/>
      <c r="C794" s="3"/>
      <c r="D794" s="3"/>
      <c r="E794" s="3"/>
      <c r="F794" s="3"/>
      <c r="G794" s="3"/>
    </row>
    <row r="795">
      <c r="A795" s="3"/>
      <c r="B795" s="3"/>
      <c r="C795" s="3"/>
      <c r="D795" s="3"/>
      <c r="E795" s="3"/>
      <c r="F795" s="3"/>
      <c r="G795" s="3"/>
    </row>
    <row r="796">
      <c r="A796" s="3"/>
      <c r="B796" s="3"/>
      <c r="C796" s="3"/>
      <c r="D796" s="3"/>
      <c r="E796" s="3"/>
      <c r="F796" s="3"/>
      <c r="G796" s="3"/>
    </row>
    <row r="797">
      <c r="A797" s="3"/>
      <c r="B797" s="3"/>
      <c r="C797" s="3"/>
      <c r="D797" s="3"/>
      <c r="E797" s="3"/>
      <c r="F797" s="3"/>
      <c r="G797" s="3"/>
    </row>
    <row r="798">
      <c r="A798" s="3"/>
      <c r="B798" s="3"/>
      <c r="C798" s="3"/>
      <c r="D798" s="3"/>
      <c r="E798" s="3"/>
      <c r="F798" s="3"/>
      <c r="G798" s="3"/>
    </row>
    <row r="799">
      <c r="A799" s="3"/>
      <c r="B799" s="3"/>
      <c r="C799" s="3"/>
      <c r="D799" s="3"/>
      <c r="E799" s="3"/>
      <c r="F799" s="3"/>
      <c r="G799" s="3"/>
    </row>
    <row r="800">
      <c r="A800" s="3"/>
      <c r="B800" s="3"/>
      <c r="C800" s="3"/>
      <c r="D800" s="3"/>
      <c r="E800" s="3"/>
      <c r="F800" s="3"/>
      <c r="G800" s="3"/>
    </row>
    <row r="801">
      <c r="A801" s="3"/>
      <c r="B801" s="3"/>
      <c r="C801" s="3"/>
      <c r="D801" s="3"/>
      <c r="E801" s="3"/>
      <c r="F801" s="3"/>
      <c r="G801" s="3"/>
    </row>
    <row r="802">
      <c r="A802" s="3"/>
      <c r="B802" s="3"/>
      <c r="C802" s="3"/>
      <c r="D802" s="3"/>
      <c r="E802" s="3"/>
      <c r="F802" s="3"/>
      <c r="G802" s="3"/>
    </row>
    <row r="803">
      <c r="A803" s="3"/>
      <c r="B803" s="3"/>
      <c r="C803" s="3"/>
      <c r="D803" s="3"/>
      <c r="E803" s="3"/>
      <c r="F803" s="3"/>
      <c r="G803" s="3"/>
    </row>
    <row r="804">
      <c r="A804" s="3"/>
      <c r="B804" s="3"/>
      <c r="C804" s="3"/>
      <c r="D804" s="3"/>
      <c r="E804" s="3"/>
      <c r="F804" s="3"/>
      <c r="G804" s="3"/>
    </row>
    <row r="805">
      <c r="A805" s="3"/>
      <c r="B805" s="3"/>
      <c r="C805" s="3"/>
      <c r="D805" s="3"/>
      <c r="E805" s="3"/>
      <c r="F805" s="3"/>
      <c r="G805" s="3"/>
    </row>
    <row r="806">
      <c r="A806" s="3"/>
      <c r="B806" s="3"/>
      <c r="C806" s="3"/>
      <c r="D806" s="3"/>
      <c r="E806" s="3"/>
      <c r="F806" s="3"/>
      <c r="G806" s="3"/>
    </row>
    <row r="807">
      <c r="A807" s="3"/>
      <c r="B807" s="3"/>
      <c r="C807" s="3"/>
      <c r="D807" s="3"/>
      <c r="E807" s="3"/>
      <c r="F807" s="3"/>
      <c r="G807" s="3"/>
    </row>
    <row r="808">
      <c r="A808" s="3"/>
      <c r="B808" s="3"/>
      <c r="C808" s="3"/>
      <c r="D808" s="3"/>
      <c r="E808" s="3"/>
      <c r="F808" s="3"/>
      <c r="G808" s="3"/>
    </row>
    <row r="809">
      <c r="A809" s="3"/>
      <c r="B809" s="3"/>
      <c r="C809" s="3"/>
      <c r="D809" s="3"/>
      <c r="E809" s="3"/>
      <c r="F809" s="3"/>
      <c r="G809" s="3"/>
    </row>
    <row r="810">
      <c r="A810" s="3"/>
      <c r="B810" s="3"/>
      <c r="C810" s="3"/>
      <c r="D810" s="3"/>
      <c r="E810" s="3"/>
      <c r="F810" s="3"/>
      <c r="G810" s="3"/>
    </row>
    <row r="811">
      <c r="A811" s="3"/>
      <c r="B811" s="3"/>
      <c r="C811" s="3"/>
      <c r="D811" s="3"/>
      <c r="E811" s="3"/>
      <c r="F811" s="3"/>
      <c r="G811" s="3"/>
    </row>
    <row r="812">
      <c r="A812" s="3"/>
      <c r="B812" s="3"/>
      <c r="C812" s="3"/>
      <c r="D812" s="3"/>
      <c r="E812" s="3"/>
      <c r="F812" s="3"/>
      <c r="G812" s="3"/>
    </row>
    <row r="813">
      <c r="A813" s="3"/>
      <c r="B813" s="3"/>
      <c r="C813" s="3"/>
      <c r="D813" s="3"/>
      <c r="E813" s="3"/>
      <c r="F813" s="3"/>
      <c r="G813" s="3"/>
    </row>
    <row r="814">
      <c r="A814" s="3"/>
      <c r="B814" s="3"/>
      <c r="C814" s="3"/>
      <c r="D814" s="3"/>
      <c r="E814" s="3"/>
      <c r="F814" s="3"/>
      <c r="G814" s="3"/>
    </row>
    <row r="815">
      <c r="A815" s="3"/>
      <c r="B815" s="3"/>
      <c r="C815" s="3"/>
      <c r="D815" s="3"/>
      <c r="E815" s="3"/>
      <c r="F815" s="3"/>
      <c r="G815" s="3"/>
    </row>
    <row r="816">
      <c r="A816" s="3"/>
      <c r="B816" s="3"/>
      <c r="C816" s="3"/>
      <c r="D816" s="3"/>
      <c r="E816" s="3"/>
      <c r="F816" s="3"/>
      <c r="G816" s="3"/>
    </row>
    <row r="817">
      <c r="A817" s="3"/>
      <c r="B817" s="3"/>
      <c r="C817" s="3"/>
      <c r="D817" s="3"/>
      <c r="E817" s="3"/>
      <c r="F817" s="3"/>
      <c r="G817" s="3"/>
    </row>
    <row r="818">
      <c r="A818" s="3"/>
      <c r="B818" s="3"/>
      <c r="C818" s="3"/>
      <c r="D818" s="3"/>
      <c r="E818" s="3"/>
      <c r="F818" s="3"/>
      <c r="G818" s="3"/>
    </row>
    <row r="819">
      <c r="A819" s="3"/>
      <c r="B819" s="3"/>
      <c r="C819" s="3"/>
      <c r="D819" s="3"/>
      <c r="E819" s="3"/>
      <c r="F819" s="3"/>
      <c r="G819" s="3"/>
    </row>
    <row r="820">
      <c r="A820" s="3"/>
      <c r="B820" s="3"/>
      <c r="C820" s="3"/>
      <c r="D820" s="3"/>
      <c r="E820" s="3"/>
      <c r="F820" s="3"/>
      <c r="G820" s="3"/>
    </row>
    <row r="821">
      <c r="A821" s="3"/>
      <c r="B821" s="3"/>
      <c r="C821" s="3"/>
      <c r="D821" s="3"/>
      <c r="E821" s="3"/>
      <c r="F821" s="3"/>
      <c r="G821" s="3"/>
    </row>
    <row r="822">
      <c r="A822" s="3"/>
      <c r="B822" s="3"/>
      <c r="C822" s="3"/>
      <c r="D822" s="3"/>
      <c r="E822" s="3"/>
      <c r="F822" s="3"/>
      <c r="G822" s="3"/>
    </row>
    <row r="823">
      <c r="A823" s="3"/>
      <c r="B823" s="3"/>
      <c r="C823" s="3"/>
      <c r="D823" s="3"/>
      <c r="E823" s="3"/>
      <c r="F823" s="3"/>
      <c r="G823" s="3"/>
    </row>
    <row r="824">
      <c r="A824" s="3"/>
      <c r="B824" s="3"/>
      <c r="C824" s="3"/>
      <c r="D824" s="3"/>
      <c r="E824" s="3"/>
      <c r="F824" s="3"/>
      <c r="G824" s="3"/>
    </row>
    <row r="825">
      <c r="A825" s="3"/>
      <c r="B825" s="3"/>
      <c r="C825" s="3"/>
      <c r="D825" s="3"/>
      <c r="E825" s="3"/>
      <c r="F825" s="3"/>
      <c r="G825" s="3"/>
    </row>
    <row r="826">
      <c r="A826" s="3"/>
      <c r="B826" s="3"/>
      <c r="C826" s="3"/>
      <c r="D826" s="3"/>
      <c r="E826" s="3"/>
      <c r="F826" s="3"/>
      <c r="G826" s="3"/>
    </row>
    <row r="827">
      <c r="A827" s="3"/>
      <c r="B827" s="3"/>
      <c r="C827" s="3"/>
      <c r="D827" s="3"/>
      <c r="E827" s="3"/>
      <c r="F827" s="3"/>
      <c r="G827" s="3"/>
    </row>
    <row r="828">
      <c r="A828" s="3"/>
      <c r="B828" s="3"/>
      <c r="C828" s="3"/>
      <c r="D828" s="3"/>
      <c r="E828" s="3"/>
      <c r="F828" s="3"/>
      <c r="G828" s="3"/>
    </row>
    <row r="829">
      <c r="A829" s="3"/>
      <c r="B829" s="3"/>
      <c r="C829" s="3"/>
      <c r="D829" s="3"/>
      <c r="E829" s="3"/>
      <c r="F829" s="3"/>
      <c r="G829" s="3"/>
    </row>
    <row r="830">
      <c r="A830" s="3"/>
      <c r="B830" s="3"/>
      <c r="C830" s="3"/>
      <c r="D830" s="3"/>
      <c r="E830" s="3"/>
      <c r="F830" s="3"/>
      <c r="G830" s="3"/>
    </row>
    <row r="831">
      <c r="A831" s="3"/>
      <c r="B831" s="3"/>
      <c r="C831" s="3"/>
      <c r="D831" s="3"/>
      <c r="E831" s="3"/>
      <c r="F831" s="3"/>
      <c r="G831" s="3"/>
    </row>
    <row r="832">
      <c r="A832" s="3"/>
      <c r="B832" s="3"/>
      <c r="C832" s="3"/>
      <c r="D832" s="3"/>
      <c r="E832" s="3"/>
      <c r="F832" s="3"/>
      <c r="G832" s="3"/>
    </row>
    <row r="833">
      <c r="A833" s="3"/>
      <c r="B833" s="3"/>
      <c r="C833" s="3"/>
      <c r="D833" s="3"/>
      <c r="E833" s="3"/>
      <c r="F833" s="3"/>
      <c r="G833" s="3"/>
    </row>
    <row r="834">
      <c r="A834" s="3"/>
      <c r="B834" s="3"/>
      <c r="C834" s="3"/>
      <c r="D834" s="3"/>
      <c r="E834" s="3"/>
      <c r="F834" s="3"/>
      <c r="G834" s="3"/>
    </row>
    <row r="835">
      <c r="A835" s="3"/>
      <c r="B835" s="3"/>
      <c r="C835" s="3"/>
      <c r="D835" s="3"/>
      <c r="E835" s="3"/>
      <c r="F835" s="3"/>
      <c r="G835" s="3"/>
    </row>
    <row r="836">
      <c r="A836" s="3"/>
      <c r="B836" s="3"/>
      <c r="C836" s="3"/>
      <c r="D836" s="3"/>
      <c r="E836" s="3"/>
      <c r="F836" s="3"/>
      <c r="G836" s="3"/>
    </row>
    <row r="837">
      <c r="A837" s="3"/>
      <c r="B837" s="3"/>
      <c r="C837" s="3"/>
      <c r="D837" s="3"/>
      <c r="E837" s="3"/>
      <c r="F837" s="3"/>
      <c r="G837" s="3"/>
    </row>
    <row r="838">
      <c r="A838" s="3"/>
      <c r="B838" s="3"/>
      <c r="C838" s="3"/>
      <c r="D838" s="3"/>
      <c r="E838" s="3"/>
      <c r="F838" s="3"/>
      <c r="G838" s="3"/>
    </row>
    <row r="839">
      <c r="A839" s="3"/>
      <c r="B839" s="3"/>
      <c r="C839" s="3"/>
      <c r="D839" s="3"/>
      <c r="E839" s="3"/>
      <c r="F839" s="3"/>
      <c r="G839" s="3"/>
    </row>
    <row r="840">
      <c r="A840" s="3"/>
      <c r="B840" s="3"/>
      <c r="C840" s="3"/>
      <c r="D840" s="3"/>
      <c r="E840" s="3"/>
      <c r="F840" s="3"/>
      <c r="G840" s="3"/>
    </row>
    <row r="841">
      <c r="A841" s="3"/>
      <c r="B841" s="3"/>
      <c r="C841" s="3"/>
      <c r="D841" s="3"/>
      <c r="E841" s="3"/>
      <c r="F841" s="3"/>
      <c r="G841" s="3"/>
    </row>
    <row r="842">
      <c r="A842" s="3"/>
      <c r="B842" s="3"/>
      <c r="C842" s="3"/>
      <c r="D842" s="3"/>
      <c r="E842" s="3"/>
      <c r="F842" s="3"/>
      <c r="G842" s="3"/>
    </row>
    <row r="843">
      <c r="A843" s="3"/>
      <c r="B843" s="3"/>
      <c r="C843" s="3"/>
      <c r="D843" s="3"/>
      <c r="E843" s="3"/>
      <c r="F843" s="3"/>
      <c r="G843" s="3"/>
    </row>
    <row r="844">
      <c r="A844" s="3"/>
      <c r="B844" s="3"/>
      <c r="C844" s="3"/>
      <c r="D844" s="3"/>
      <c r="E844" s="3"/>
      <c r="F844" s="3"/>
      <c r="G844" s="3"/>
    </row>
    <row r="845">
      <c r="A845" s="3"/>
      <c r="B845" s="3"/>
      <c r="C845" s="3"/>
      <c r="D845" s="3"/>
      <c r="E845" s="3"/>
      <c r="F845" s="3"/>
      <c r="G845" s="3"/>
    </row>
    <row r="846">
      <c r="A846" s="3"/>
      <c r="B846" s="3"/>
      <c r="C846" s="3"/>
      <c r="D846" s="3"/>
      <c r="E846" s="3"/>
      <c r="F846" s="3"/>
      <c r="G846" s="3"/>
    </row>
    <row r="847">
      <c r="A847" s="3"/>
      <c r="B847" s="3"/>
      <c r="C847" s="3"/>
      <c r="D847" s="3"/>
      <c r="E847" s="3"/>
      <c r="F847" s="3"/>
      <c r="G847" s="3"/>
    </row>
    <row r="848">
      <c r="A848" s="3"/>
      <c r="B848" s="3"/>
      <c r="C848" s="3"/>
      <c r="D848" s="3"/>
      <c r="E848" s="3"/>
      <c r="F848" s="3"/>
      <c r="G848" s="3"/>
    </row>
    <row r="849">
      <c r="A849" s="3"/>
      <c r="B849" s="3"/>
      <c r="C849" s="3"/>
      <c r="D849" s="3"/>
      <c r="E849" s="3"/>
      <c r="F849" s="3"/>
      <c r="G849" s="3"/>
    </row>
    <row r="850">
      <c r="A850" s="3"/>
      <c r="B850" s="3"/>
      <c r="C850" s="3"/>
      <c r="D850" s="3"/>
      <c r="E850" s="3"/>
      <c r="F850" s="3"/>
      <c r="G850" s="3"/>
    </row>
    <row r="851">
      <c r="A851" s="3"/>
      <c r="B851" s="3"/>
      <c r="C851" s="3"/>
      <c r="D851" s="3"/>
      <c r="E851" s="3"/>
      <c r="F851" s="3"/>
      <c r="G851" s="3"/>
    </row>
    <row r="852">
      <c r="A852" s="3"/>
      <c r="B852" s="3"/>
      <c r="C852" s="3"/>
      <c r="D852" s="3"/>
      <c r="E852" s="3"/>
      <c r="F852" s="3"/>
      <c r="G852" s="3"/>
    </row>
    <row r="853">
      <c r="A853" s="3"/>
      <c r="B853" s="3"/>
      <c r="C853" s="3"/>
      <c r="D853" s="3"/>
      <c r="E853" s="3"/>
      <c r="F853" s="3"/>
      <c r="G853" s="3"/>
    </row>
    <row r="854">
      <c r="A854" s="3"/>
      <c r="B854" s="3"/>
      <c r="C854" s="3"/>
      <c r="D854" s="3"/>
      <c r="E854" s="3"/>
      <c r="F854" s="3"/>
      <c r="G854" s="3"/>
    </row>
    <row r="855">
      <c r="A855" s="3"/>
      <c r="B855" s="3"/>
      <c r="C855" s="3"/>
      <c r="D855" s="3"/>
      <c r="E855" s="3"/>
      <c r="F855" s="3"/>
      <c r="G855" s="3"/>
    </row>
    <row r="856">
      <c r="A856" s="3"/>
      <c r="B856" s="3"/>
      <c r="C856" s="3"/>
      <c r="D856" s="3"/>
      <c r="E856" s="3"/>
      <c r="F856" s="3"/>
      <c r="G856" s="3"/>
    </row>
    <row r="857">
      <c r="A857" s="3"/>
      <c r="B857" s="3"/>
      <c r="C857" s="3"/>
      <c r="D857" s="3"/>
      <c r="E857" s="3"/>
      <c r="F857" s="3"/>
      <c r="G857" s="3"/>
    </row>
    <row r="858">
      <c r="A858" s="3"/>
      <c r="B858" s="3"/>
      <c r="C858" s="3"/>
      <c r="D858" s="3"/>
      <c r="E858" s="3"/>
      <c r="F858" s="3"/>
      <c r="G858" s="3"/>
    </row>
    <row r="859">
      <c r="A859" s="3"/>
      <c r="B859" s="3"/>
      <c r="C859" s="3"/>
      <c r="D859" s="3"/>
      <c r="E859" s="3"/>
      <c r="F859" s="3"/>
      <c r="G859" s="3"/>
    </row>
    <row r="860">
      <c r="A860" s="3"/>
      <c r="B860" s="3"/>
      <c r="C860" s="3"/>
      <c r="D860" s="3"/>
      <c r="E860" s="3"/>
      <c r="F860" s="3"/>
      <c r="G860" s="3"/>
    </row>
    <row r="861">
      <c r="A861" s="3"/>
      <c r="B861" s="3"/>
      <c r="C861" s="3"/>
      <c r="D861" s="3"/>
      <c r="E861" s="3"/>
      <c r="F861" s="3"/>
      <c r="G861" s="3"/>
    </row>
    <row r="862">
      <c r="A862" s="3"/>
      <c r="B862" s="3"/>
      <c r="C862" s="3"/>
      <c r="D862" s="3"/>
      <c r="E862" s="3"/>
      <c r="F862" s="3"/>
      <c r="G862" s="3"/>
    </row>
    <row r="863">
      <c r="A863" s="3"/>
      <c r="B863" s="3"/>
      <c r="C863" s="3"/>
      <c r="D863" s="3"/>
      <c r="E863" s="3"/>
      <c r="F863" s="3"/>
      <c r="G863" s="3"/>
    </row>
    <row r="864">
      <c r="A864" s="3"/>
      <c r="B864" s="3"/>
      <c r="C864" s="3"/>
      <c r="D864" s="3"/>
      <c r="E864" s="3"/>
      <c r="F864" s="3"/>
      <c r="G864" s="3"/>
    </row>
    <row r="865">
      <c r="A865" s="3"/>
      <c r="B865" s="3"/>
      <c r="C865" s="3"/>
      <c r="D865" s="3"/>
      <c r="E865" s="3"/>
      <c r="F865" s="3"/>
      <c r="G865" s="3"/>
    </row>
    <row r="866">
      <c r="A866" s="3"/>
      <c r="B866" s="3"/>
      <c r="C866" s="3"/>
      <c r="D866" s="3"/>
      <c r="E866" s="3"/>
      <c r="F866" s="3"/>
      <c r="G866" s="3"/>
    </row>
    <row r="867">
      <c r="A867" s="3"/>
      <c r="B867" s="3"/>
      <c r="C867" s="3"/>
      <c r="D867" s="3"/>
      <c r="E867" s="3"/>
      <c r="F867" s="3"/>
      <c r="G867" s="3"/>
    </row>
    <row r="868">
      <c r="A868" s="3"/>
      <c r="B868" s="3"/>
      <c r="C868" s="3"/>
      <c r="D868" s="3"/>
      <c r="E868" s="3"/>
      <c r="F868" s="3"/>
      <c r="G868" s="3"/>
    </row>
    <row r="869">
      <c r="A869" s="3"/>
      <c r="B869" s="3"/>
      <c r="C869" s="3"/>
      <c r="D869" s="3"/>
      <c r="E869" s="3"/>
      <c r="F869" s="3"/>
      <c r="G869" s="3"/>
    </row>
    <row r="870">
      <c r="A870" s="3"/>
      <c r="B870" s="3"/>
      <c r="C870" s="3"/>
      <c r="D870" s="3"/>
      <c r="E870" s="3"/>
      <c r="F870" s="3"/>
      <c r="G870" s="3"/>
    </row>
    <row r="871">
      <c r="A871" s="3"/>
      <c r="B871" s="3"/>
      <c r="C871" s="3"/>
      <c r="D871" s="3"/>
      <c r="E871" s="3"/>
      <c r="F871" s="3"/>
      <c r="G871" s="3"/>
    </row>
    <row r="872">
      <c r="A872" s="3"/>
      <c r="B872" s="3"/>
      <c r="C872" s="3"/>
      <c r="D872" s="3"/>
      <c r="E872" s="3"/>
      <c r="F872" s="3"/>
      <c r="G872" s="3"/>
    </row>
    <row r="873">
      <c r="A873" s="3"/>
      <c r="B873" s="3"/>
      <c r="C873" s="3"/>
      <c r="D873" s="3"/>
      <c r="E873" s="3"/>
      <c r="F873" s="3"/>
      <c r="G873" s="3"/>
    </row>
    <row r="874">
      <c r="A874" s="3"/>
      <c r="B874" s="3"/>
      <c r="C874" s="3"/>
      <c r="D874" s="3"/>
      <c r="E874" s="3"/>
      <c r="F874" s="3"/>
      <c r="G874" s="3"/>
    </row>
    <row r="875">
      <c r="A875" s="3"/>
      <c r="B875" s="3"/>
      <c r="C875" s="3"/>
      <c r="D875" s="3"/>
      <c r="E875" s="3"/>
      <c r="F875" s="3"/>
      <c r="G875" s="3"/>
    </row>
    <row r="876">
      <c r="A876" s="3"/>
      <c r="B876" s="3"/>
      <c r="C876" s="3"/>
      <c r="D876" s="3"/>
      <c r="E876" s="3"/>
      <c r="F876" s="3"/>
      <c r="G876" s="3"/>
    </row>
    <row r="877">
      <c r="A877" s="3"/>
      <c r="B877" s="3"/>
      <c r="C877" s="3"/>
      <c r="D877" s="3"/>
      <c r="E877" s="3"/>
      <c r="F877" s="3"/>
      <c r="G877" s="3"/>
    </row>
    <row r="878">
      <c r="A878" s="3"/>
      <c r="B878" s="3"/>
      <c r="C878" s="3"/>
      <c r="D878" s="3"/>
      <c r="E878" s="3"/>
      <c r="F878" s="3"/>
      <c r="G878" s="3"/>
    </row>
    <row r="879">
      <c r="A879" s="3"/>
      <c r="B879" s="3"/>
      <c r="C879" s="3"/>
      <c r="D879" s="3"/>
      <c r="E879" s="3"/>
      <c r="F879" s="3"/>
      <c r="G879" s="3"/>
    </row>
    <row r="880">
      <c r="A880" s="3"/>
      <c r="B880" s="3"/>
      <c r="C880" s="3"/>
      <c r="D880" s="3"/>
      <c r="E880" s="3"/>
      <c r="F880" s="3"/>
      <c r="G880" s="3"/>
    </row>
    <row r="881">
      <c r="A881" s="3"/>
      <c r="B881" s="3"/>
      <c r="C881" s="3"/>
      <c r="D881" s="3"/>
      <c r="E881" s="3"/>
      <c r="F881" s="3"/>
      <c r="G881" s="3"/>
    </row>
    <row r="882">
      <c r="A882" s="3"/>
      <c r="B882" s="3"/>
      <c r="C882" s="3"/>
      <c r="D882" s="3"/>
      <c r="E882" s="3"/>
      <c r="F882" s="3"/>
      <c r="G882" s="3"/>
    </row>
    <row r="883">
      <c r="A883" s="3"/>
      <c r="B883" s="3"/>
      <c r="C883" s="3"/>
      <c r="D883" s="3"/>
      <c r="E883" s="3"/>
      <c r="F883" s="3"/>
      <c r="G883" s="3"/>
    </row>
    <row r="884">
      <c r="A884" s="3"/>
      <c r="B884" s="3"/>
      <c r="C884" s="3"/>
      <c r="D884" s="3"/>
      <c r="E884" s="3"/>
      <c r="F884" s="3"/>
      <c r="G884" s="3"/>
    </row>
    <row r="885">
      <c r="A885" s="3"/>
      <c r="B885" s="3"/>
      <c r="C885" s="3"/>
      <c r="D885" s="3"/>
      <c r="E885" s="3"/>
      <c r="F885" s="3"/>
      <c r="G885" s="3"/>
    </row>
    <row r="886">
      <c r="A886" s="3"/>
      <c r="B886" s="3"/>
      <c r="C886" s="3"/>
      <c r="D886" s="3"/>
      <c r="E886" s="3"/>
      <c r="F886" s="3"/>
      <c r="G886" s="3"/>
    </row>
    <row r="887">
      <c r="A887" s="3"/>
      <c r="B887" s="3"/>
      <c r="C887" s="3"/>
      <c r="D887" s="3"/>
      <c r="E887" s="3"/>
      <c r="F887" s="3"/>
      <c r="G887" s="3"/>
    </row>
    <row r="888">
      <c r="A888" s="3"/>
      <c r="B888" s="3"/>
      <c r="C888" s="3"/>
      <c r="D888" s="3"/>
      <c r="E888" s="3"/>
      <c r="F888" s="3"/>
      <c r="G888" s="3"/>
    </row>
    <row r="889">
      <c r="A889" s="3"/>
      <c r="B889" s="3"/>
      <c r="C889" s="3"/>
      <c r="D889" s="3"/>
      <c r="E889" s="3"/>
      <c r="F889" s="3"/>
      <c r="G889" s="3"/>
    </row>
    <row r="890">
      <c r="A890" s="3"/>
      <c r="B890" s="3"/>
      <c r="C890" s="3"/>
      <c r="D890" s="3"/>
      <c r="E890" s="3"/>
      <c r="F890" s="3"/>
      <c r="G890" s="3"/>
    </row>
    <row r="891">
      <c r="A891" s="3"/>
      <c r="B891" s="3"/>
      <c r="C891" s="3"/>
      <c r="D891" s="3"/>
      <c r="E891" s="3"/>
      <c r="F891" s="3"/>
      <c r="G891" s="3"/>
    </row>
    <row r="892">
      <c r="A892" s="3"/>
      <c r="B892" s="3"/>
      <c r="C892" s="3"/>
      <c r="D892" s="3"/>
      <c r="E892" s="3"/>
      <c r="F892" s="3"/>
      <c r="G892" s="3"/>
    </row>
    <row r="893">
      <c r="A893" s="3"/>
      <c r="B893" s="3"/>
      <c r="C893" s="3"/>
      <c r="D893" s="3"/>
      <c r="E893" s="3"/>
      <c r="F893" s="3"/>
      <c r="G893" s="3"/>
    </row>
    <row r="894">
      <c r="A894" s="3"/>
      <c r="B894" s="3"/>
      <c r="C894" s="3"/>
      <c r="D894" s="3"/>
      <c r="E894" s="3"/>
      <c r="F894" s="3"/>
      <c r="G894" s="3"/>
    </row>
    <row r="895">
      <c r="A895" s="3"/>
      <c r="B895" s="3"/>
      <c r="C895" s="3"/>
      <c r="D895" s="3"/>
      <c r="E895" s="3"/>
      <c r="F895" s="3"/>
      <c r="G895" s="3"/>
    </row>
    <row r="896">
      <c r="A896" s="3"/>
      <c r="B896" s="3"/>
      <c r="C896" s="3"/>
      <c r="D896" s="3"/>
      <c r="E896" s="3"/>
      <c r="F896" s="3"/>
      <c r="G896" s="3"/>
    </row>
    <row r="897">
      <c r="A897" s="3"/>
      <c r="B897" s="3"/>
      <c r="C897" s="3"/>
      <c r="D897" s="3"/>
      <c r="E897" s="3"/>
      <c r="F897" s="3"/>
      <c r="G897" s="3"/>
    </row>
    <row r="898">
      <c r="A898" s="3"/>
      <c r="B898" s="3"/>
      <c r="C898" s="3"/>
      <c r="D898" s="3"/>
      <c r="E898" s="3"/>
      <c r="F898" s="3"/>
      <c r="G898" s="3"/>
    </row>
    <row r="899">
      <c r="A899" s="3"/>
      <c r="B899" s="3"/>
      <c r="C899" s="3"/>
      <c r="D899" s="3"/>
      <c r="E899" s="3"/>
      <c r="F899" s="3"/>
      <c r="G899" s="3"/>
    </row>
    <row r="900">
      <c r="A900" s="3"/>
      <c r="B900" s="3"/>
      <c r="C900" s="3"/>
      <c r="D900" s="3"/>
      <c r="E900" s="3"/>
      <c r="F900" s="3"/>
      <c r="G900" s="3"/>
    </row>
    <row r="901">
      <c r="A901" s="3"/>
      <c r="B901" s="3"/>
      <c r="C901" s="3"/>
      <c r="D901" s="3"/>
      <c r="E901" s="3"/>
      <c r="F901" s="3"/>
      <c r="G901" s="3"/>
    </row>
    <row r="902">
      <c r="A902" s="3"/>
      <c r="B902" s="3"/>
      <c r="C902" s="3"/>
      <c r="D902" s="3"/>
      <c r="E902" s="3"/>
      <c r="F902" s="3"/>
      <c r="G902" s="3"/>
    </row>
    <row r="903">
      <c r="A903" s="3"/>
      <c r="B903" s="3"/>
      <c r="C903" s="3"/>
      <c r="D903" s="3"/>
      <c r="E903" s="3"/>
      <c r="F903" s="3"/>
      <c r="G903" s="3"/>
    </row>
    <row r="904">
      <c r="A904" s="3"/>
      <c r="B904" s="3"/>
      <c r="C904" s="3"/>
      <c r="D904" s="3"/>
      <c r="E904" s="3"/>
      <c r="F904" s="3"/>
      <c r="G904" s="3"/>
    </row>
    <row r="905">
      <c r="A905" s="3"/>
      <c r="B905" s="3"/>
      <c r="C905" s="3"/>
      <c r="D905" s="3"/>
      <c r="E905" s="3"/>
      <c r="F905" s="3"/>
      <c r="G905" s="3"/>
    </row>
    <row r="906">
      <c r="A906" s="3"/>
      <c r="B906" s="3"/>
      <c r="C906" s="3"/>
      <c r="D906" s="3"/>
      <c r="E906" s="3"/>
      <c r="F906" s="3"/>
      <c r="G906" s="3"/>
    </row>
    <row r="907">
      <c r="A907" s="3"/>
      <c r="B907" s="3"/>
      <c r="C907" s="3"/>
      <c r="D907" s="3"/>
      <c r="E907" s="3"/>
      <c r="F907" s="3"/>
      <c r="G907" s="3"/>
    </row>
    <row r="908">
      <c r="A908" s="3"/>
      <c r="B908" s="3"/>
      <c r="C908" s="3"/>
      <c r="D908" s="3"/>
      <c r="E908" s="3"/>
      <c r="F908" s="3"/>
      <c r="G908" s="3"/>
    </row>
    <row r="909">
      <c r="A909" s="3"/>
      <c r="B909" s="3"/>
      <c r="C909" s="3"/>
      <c r="D909" s="3"/>
      <c r="E909" s="3"/>
      <c r="F909" s="3"/>
      <c r="G909" s="3"/>
    </row>
    <row r="910">
      <c r="A910" s="3"/>
      <c r="B910" s="3"/>
      <c r="C910" s="3"/>
      <c r="D910" s="3"/>
      <c r="E910" s="3"/>
      <c r="F910" s="3"/>
      <c r="G910" s="3"/>
    </row>
    <row r="911">
      <c r="A911" s="3"/>
      <c r="B911" s="3"/>
      <c r="C911" s="3"/>
      <c r="D911" s="3"/>
      <c r="E911" s="3"/>
      <c r="F911" s="3"/>
      <c r="G911" s="3"/>
    </row>
    <row r="912">
      <c r="A912" s="3"/>
      <c r="B912" s="3"/>
      <c r="C912" s="3"/>
      <c r="D912" s="3"/>
      <c r="E912" s="3"/>
      <c r="F912" s="3"/>
      <c r="G912" s="3"/>
    </row>
    <row r="913">
      <c r="A913" s="3"/>
      <c r="B913" s="3"/>
      <c r="C913" s="3"/>
      <c r="D913" s="3"/>
      <c r="E913" s="3"/>
      <c r="F913" s="3"/>
      <c r="G913" s="3"/>
    </row>
    <row r="914">
      <c r="A914" s="3"/>
      <c r="B914" s="3"/>
      <c r="C914" s="3"/>
      <c r="D914" s="3"/>
      <c r="E914" s="3"/>
      <c r="F914" s="3"/>
      <c r="G914" s="3"/>
    </row>
    <row r="915">
      <c r="A915" s="3"/>
      <c r="B915" s="3"/>
      <c r="C915" s="3"/>
      <c r="D915" s="3"/>
      <c r="E915" s="3"/>
      <c r="F915" s="3"/>
      <c r="G915" s="3"/>
    </row>
    <row r="916">
      <c r="A916" s="3"/>
      <c r="B916" s="3"/>
      <c r="C916" s="3"/>
      <c r="D916" s="3"/>
      <c r="E916" s="3"/>
      <c r="F916" s="3"/>
      <c r="G916" s="3"/>
    </row>
    <row r="917">
      <c r="A917" s="3"/>
      <c r="B917" s="3"/>
      <c r="C917" s="3"/>
      <c r="D917" s="3"/>
      <c r="E917" s="3"/>
      <c r="F917" s="3"/>
      <c r="G917" s="3"/>
    </row>
    <row r="918">
      <c r="A918" s="3"/>
      <c r="B918" s="3"/>
      <c r="C918" s="3"/>
      <c r="D918" s="3"/>
      <c r="E918" s="3"/>
      <c r="F918" s="3"/>
      <c r="G918" s="3"/>
    </row>
    <row r="919">
      <c r="A919" s="3"/>
      <c r="B919" s="3"/>
      <c r="C919" s="3"/>
      <c r="D919" s="3"/>
      <c r="E919" s="3"/>
      <c r="F919" s="3"/>
      <c r="G919" s="3"/>
    </row>
    <row r="920">
      <c r="A920" s="3"/>
      <c r="B920" s="3"/>
      <c r="C920" s="3"/>
      <c r="D920" s="3"/>
      <c r="E920" s="3"/>
      <c r="F920" s="3"/>
      <c r="G920" s="3"/>
    </row>
    <row r="921">
      <c r="A921" s="3"/>
      <c r="B921" s="3"/>
      <c r="C921" s="3"/>
      <c r="D921" s="3"/>
      <c r="E921" s="3"/>
      <c r="F921" s="3"/>
      <c r="G921" s="3"/>
    </row>
    <row r="922">
      <c r="A922" s="3"/>
      <c r="B922" s="3"/>
      <c r="C922" s="3"/>
      <c r="D922" s="3"/>
      <c r="E922" s="3"/>
      <c r="F922" s="3"/>
      <c r="G922" s="3"/>
    </row>
    <row r="923">
      <c r="A923" s="3"/>
      <c r="B923" s="3"/>
      <c r="C923" s="3"/>
      <c r="D923" s="3"/>
      <c r="E923" s="3"/>
      <c r="F923" s="3"/>
      <c r="G923" s="3"/>
    </row>
    <row r="924">
      <c r="A924" s="3"/>
      <c r="B924" s="3"/>
      <c r="C924" s="3"/>
      <c r="D924" s="3"/>
      <c r="E924" s="3"/>
      <c r="F924" s="3"/>
      <c r="G924" s="3"/>
    </row>
    <row r="925">
      <c r="A925" s="3"/>
      <c r="B925" s="3"/>
      <c r="C925" s="3"/>
      <c r="D925" s="3"/>
      <c r="E925" s="3"/>
      <c r="F925" s="3"/>
      <c r="G925" s="3"/>
    </row>
    <row r="926">
      <c r="A926" s="3"/>
      <c r="B926" s="3"/>
      <c r="C926" s="3"/>
      <c r="D926" s="3"/>
      <c r="E926" s="3"/>
      <c r="F926" s="3"/>
      <c r="G926" s="3"/>
    </row>
    <row r="927">
      <c r="A927" s="3"/>
      <c r="B927" s="3"/>
      <c r="C927" s="3"/>
      <c r="D927" s="3"/>
      <c r="E927" s="3"/>
      <c r="F927" s="3"/>
      <c r="G927" s="3"/>
    </row>
    <row r="928">
      <c r="A928" s="3"/>
      <c r="B928" s="3"/>
      <c r="C928" s="3"/>
      <c r="D928" s="3"/>
      <c r="E928" s="3"/>
      <c r="F928" s="3"/>
      <c r="G928" s="3"/>
    </row>
    <row r="929">
      <c r="A929" s="3"/>
      <c r="B929" s="3"/>
      <c r="C929" s="3"/>
      <c r="D929" s="3"/>
      <c r="E929" s="3"/>
      <c r="F929" s="3"/>
      <c r="G929" s="3"/>
    </row>
    <row r="930">
      <c r="A930" s="3"/>
      <c r="B930" s="3"/>
      <c r="C930" s="3"/>
      <c r="D930" s="3"/>
      <c r="E930" s="3"/>
      <c r="F930" s="3"/>
      <c r="G930" s="3"/>
    </row>
    <row r="931">
      <c r="A931" s="3"/>
      <c r="B931" s="3"/>
      <c r="C931" s="3"/>
      <c r="D931" s="3"/>
      <c r="E931" s="3"/>
      <c r="F931" s="3"/>
      <c r="G931" s="3"/>
    </row>
    <row r="932">
      <c r="A932" s="3"/>
      <c r="B932" s="3"/>
      <c r="C932" s="3"/>
      <c r="D932" s="3"/>
      <c r="E932" s="3"/>
      <c r="F932" s="3"/>
      <c r="G932" s="3"/>
    </row>
    <row r="933">
      <c r="A933" s="3"/>
      <c r="B933" s="3"/>
      <c r="C933" s="3"/>
      <c r="D933" s="3"/>
      <c r="E933" s="3"/>
      <c r="F933" s="3"/>
      <c r="G933" s="3"/>
    </row>
    <row r="934">
      <c r="A934" s="3"/>
      <c r="B934" s="3"/>
      <c r="C934" s="3"/>
      <c r="D934" s="3"/>
      <c r="E934" s="3"/>
      <c r="F934" s="3"/>
      <c r="G934" s="3"/>
    </row>
    <row r="935">
      <c r="A935" s="3"/>
      <c r="B935" s="3"/>
      <c r="C935" s="3"/>
      <c r="D935" s="3"/>
      <c r="E935" s="3"/>
      <c r="F935" s="3"/>
      <c r="G935" s="3"/>
    </row>
    <row r="936">
      <c r="A936" s="3"/>
      <c r="B936" s="3"/>
      <c r="C936" s="3"/>
      <c r="D936" s="3"/>
      <c r="E936" s="3"/>
      <c r="F936" s="3"/>
      <c r="G936" s="3"/>
    </row>
    <row r="937">
      <c r="A937" s="3"/>
      <c r="B937" s="3"/>
      <c r="C937" s="3"/>
      <c r="D937" s="3"/>
      <c r="E937" s="3"/>
      <c r="F937" s="3"/>
      <c r="G937" s="3"/>
    </row>
    <row r="938">
      <c r="A938" s="3"/>
      <c r="B938" s="3"/>
      <c r="C938" s="3"/>
      <c r="D938" s="3"/>
      <c r="E938" s="3"/>
      <c r="F938" s="3"/>
      <c r="G938" s="3"/>
    </row>
    <row r="939">
      <c r="A939" s="3"/>
      <c r="B939" s="3"/>
      <c r="C939" s="3"/>
      <c r="D939" s="3"/>
      <c r="E939" s="3"/>
      <c r="F939" s="3"/>
      <c r="G939" s="3"/>
    </row>
    <row r="940">
      <c r="A940" s="3"/>
      <c r="B940" s="3"/>
      <c r="C940" s="3"/>
      <c r="D940" s="3"/>
      <c r="E940" s="3"/>
      <c r="F940" s="3"/>
      <c r="G940" s="3"/>
    </row>
    <row r="941">
      <c r="A941" s="3"/>
      <c r="B941" s="3"/>
      <c r="C941" s="3"/>
      <c r="D941" s="3"/>
      <c r="E941" s="3"/>
      <c r="F941" s="3"/>
      <c r="G941" s="3"/>
    </row>
    <row r="942">
      <c r="A942" s="3"/>
      <c r="B942" s="3"/>
      <c r="C942" s="3"/>
      <c r="D942" s="3"/>
      <c r="E942" s="3"/>
      <c r="F942" s="3"/>
      <c r="G942" s="3"/>
    </row>
    <row r="943">
      <c r="A943" s="3"/>
      <c r="B943" s="3"/>
      <c r="C943" s="3"/>
      <c r="D943" s="3"/>
      <c r="E943" s="3"/>
      <c r="F943" s="3"/>
      <c r="G943" s="3"/>
    </row>
    <row r="944">
      <c r="A944" s="3"/>
      <c r="B944" s="3"/>
      <c r="C944" s="3"/>
      <c r="D944" s="3"/>
      <c r="E944" s="3"/>
      <c r="F944" s="3"/>
      <c r="G944" s="3"/>
    </row>
    <row r="945">
      <c r="A945" s="3"/>
      <c r="B945" s="3"/>
      <c r="C945" s="3"/>
      <c r="D945" s="3"/>
      <c r="E945" s="3"/>
      <c r="F945" s="3"/>
      <c r="G945" s="3"/>
    </row>
    <row r="946">
      <c r="A946" s="3"/>
      <c r="B946" s="3"/>
      <c r="C946" s="3"/>
      <c r="D946" s="3"/>
      <c r="E946" s="3"/>
      <c r="F946" s="3"/>
      <c r="G946" s="3"/>
    </row>
    <row r="947">
      <c r="A947" s="3"/>
      <c r="B947" s="3"/>
      <c r="C947" s="3"/>
      <c r="D947" s="3"/>
      <c r="E947" s="3"/>
      <c r="F947" s="3"/>
      <c r="G947" s="3"/>
    </row>
    <row r="948">
      <c r="A948" s="3"/>
      <c r="B948" s="3"/>
      <c r="C948" s="3"/>
      <c r="D948" s="3"/>
      <c r="E948" s="3"/>
      <c r="F948" s="3"/>
      <c r="G948" s="3"/>
    </row>
    <row r="949">
      <c r="A949" s="3"/>
      <c r="B949" s="3"/>
      <c r="C949" s="3"/>
      <c r="D949" s="3"/>
      <c r="E949" s="3"/>
      <c r="F949" s="3"/>
      <c r="G949" s="3"/>
    </row>
    <row r="950">
      <c r="A950" s="3"/>
      <c r="B950" s="3"/>
      <c r="C950" s="3"/>
      <c r="D950" s="3"/>
      <c r="E950" s="3"/>
      <c r="F950" s="3"/>
      <c r="G950" s="3"/>
    </row>
    <row r="951">
      <c r="A951" s="3"/>
      <c r="B951" s="3"/>
      <c r="C951" s="3"/>
      <c r="D951" s="3"/>
      <c r="E951" s="3"/>
      <c r="F951" s="3"/>
      <c r="G951" s="3"/>
    </row>
    <row r="952">
      <c r="A952" s="3"/>
      <c r="B952" s="3"/>
      <c r="C952" s="3"/>
      <c r="D952" s="3"/>
      <c r="E952" s="3"/>
      <c r="F952" s="3"/>
      <c r="G952" s="3"/>
    </row>
    <row r="953">
      <c r="A953" s="3"/>
      <c r="B953" s="3"/>
      <c r="C953" s="3"/>
      <c r="D953" s="3"/>
      <c r="E953" s="3"/>
      <c r="F953" s="3"/>
      <c r="G953" s="3"/>
    </row>
    <row r="954">
      <c r="A954" s="3"/>
      <c r="B954" s="3"/>
      <c r="C954" s="3"/>
      <c r="D954" s="3"/>
      <c r="E954" s="3"/>
      <c r="F954" s="3"/>
      <c r="G954" s="3"/>
    </row>
    <row r="955">
      <c r="A955" s="3"/>
      <c r="B955" s="3"/>
      <c r="C955" s="3"/>
      <c r="D955" s="3"/>
      <c r="E955" s="3"/>
      <c r="F955" s="3"/>
      <c r="G955" s="3"/>
    </row>
    <row r="956">
      <c r="A956" s="3"/>
      <c r="B956" s="3"/>
      <c r="C956" s="3"/>
      <c r="D956" s="3"/>
      <c r="E956" s="3"/>
      <c r="F956" s="3"/>
      <c r="G956" s="3"/>
    </row>
    <row r="957">
      <c r="A957" s="3"/>
      <c r="B957" s="3"/>
      <c r="C957" s="3"/>
      <c r="D957" s="3"/>
      <c r="E957" s="3"/>
      <c r="F957" s="3"/>
      <c r="G957" s="3"/>
    </row>
    <row r="958">
      <c r="A958" s="3"/>
      <c r="B958" s="3"/>
      <c r="C958" s="3"/>
      <c r="D958" s="3"/>
      <c r="E958" s="3"/>
      <c r="F958" s="3"/>
      <c r="G958" s="3"/>
    </row>
    <row r="959">
      <c r="A959" s="3"/>
      <c r="B959" s="3"/>
      <c r="C959" s="3"/>
      <c r="D959" s="3"/>
      <c r="E959" s="3"/>
      <c r="F959" s="3"/>
      <c r="G959" s="3"/>
    </row>
    <row r="960">
      <c r="A960" s="3"/>
      <c r="B960" s="3"/>
      <c r="C960" s="3"/>
      <c r="D960" s="3"/>
      <c r="E960" s="3"/>
      <c r="F960" s="3"/>
      <c r="G960" s="3"/>
    </row>
    <row r="961">
      <c r="A961" s="3"/>
      <c r="B961" s="3"/>
      <c r="C961" s="3"/>
      <c r="D961" s="3"/>
      <c r="E961" s="3"/>
      <c r="F961" s="3"/>
      <c r="G961" s="3"/>
    </row>
    <row r="962">
      <c r="A962" s="3"/>
      <c r="B962" s="3"/>
      <c r="C962" s="3"/>
      <c r="D962" s="3"/>
      <c r="E962" s="3"/>
      <c r="F962" s="3"/>
      <c r="G962" s="3"/>
    </row>
    <row r="963">
      <c r="A963" s="3"/>
      <c r="B963" s="3"/>
      <c r="C963" s="3"/>
      <c r="D963" s="3"/>
      <c r="E963" s="3"/>
      <c r="F963" s="3"/>
      <c r="G963" s="3"/>
    </row>
    <row r="964">
      <c r="A964" s="3"/>
      <c r="B964" s="3"/>
      <c r="C964" s="3"/>
      <c r="D964" s="3"/>
      <c r="E964" s="3"/>
      <c r="F964" s="3"/>
      <c r="G964" s="3"/>
    </row>
    <row r="965">
      <c r="A965" s="3"/>
      <c r="B965" s="3"/>
      <c r="C965" s="3"/>
      <c r="D965" s="3"/>
      <c r="E965" s="3"/>
      <c r="F965" s="3"/>
      <c r="G965" s="3"/>
    </row>
    <row r="966">
      <c r="A966" s="3"/>
      <c r="B966" s="3"/>
      <c r="C966" s="3"/>
      <c r="D966" s="3"/>
      <c r="E966" s="3"/>
      <c r="F966" s="3"/>
      <c r="G966" s="3"/>
    </row>
    <row r="967">
      <c r="A967" s="3"/>
      <c r="B967" s="3"/>
      <c r="C967" s="3"/>
      <c r="D967" s="3"/>
      <c r="E967" s="3"/>
      <c r="F967" s="3"/>
      <c r="G967" s="3"/>
    </row>
    <row r="968">
      <c r="A968" s="3"/>
      <c r="B968" s="3"/>
      <c r="C968" s="3"/>
      <c r="D968" s="3"/>
      <c r="E968" s="3"/>
      <c r="F968" s="3"/>
      <c r="G968" s="3"/>
    </row>
    <row r="969">
      <c r="A969" s="3"/>
      <c r="B969" s="3"/>
      <c r="C969" s="3"/>
      <c r="D969" s="3"/>
      <c r="E969" s="3"/>
      <c r="F969" s="3"/>
      <c r="G969" s="3"/>
    </row>
    <row r="970">
      <c r="A970" s="3"/>
      <c r="B970" s="3"/>
      <c r="C970" s="3"/>
      <c r="D970" s="3"/>
      <c r="E970" s="3"/>
      <c r="F970" s="3"/>
      <c r="G970" s="3"/>
    </row>
    <row r="971">
      <c r="A971" s="3"/>
      <c r="B971" s="3"/>
      <c r="C971" s="3"/>
      <c r="D971" s="3"/>
      <c r="E971" s="3"/>
      <c r="F971" s="3"/>
      <c r="G971" s="3"/>
    </row>
    <row r="972">
      <c r="A972" s="3"/>
      <c r="B972" s="3"/>
      <c r="C972" s="3"/>
      <c r="D972" s="3"/>
      <c r="E972" s="3"/>
      <c r="F972" s="3"/>
      <c r="G972" s="3"/>
    </row>
    <row r="973">
      <c r="A973" s="3"/>
      <c r="B973" s="3"/>
      <c r="C973" s="3"/>
      <c r="D973" s="3"/>
      <c r="E973" s="3"/>
      <c r="F973" s="3"/>
      <c r="G973" s="3"/>
    </row>
    <row r="974">
      <c r="A974" s="3"/>
      <c r="B974" s="3"/>
      <c r="C974" s="3"/>
      <c r="D974" s="3"/>
      <c r="E974" s="3"/>
      <c r="F974" s="3"/>
      <c r="G974" s="3"/>
    </row>
    <row r="975">
      <c r="A975" s="3"/>
      <c r="B975" s="3"/>
      <c r="C975" s="3"/>
      <c r="D975" s="3"/>
      <c r="E975" s="3"/>
      <c r="F975" s="3"/>
      <c r="G975" s="3"/>
    </row>
    <row r="976">
      <c r="A976" s="3"/>
      <c r="B976" s="3"/>
      <c r="C976" s="3"/>
      <c r="D976" s="3"/>
      <c r="E976" s="3"/>
      <c r="F976" s="3"/>
      <c r="G976" s="3"/>
    </row>
    <row r="977">
      <c r="A977" s="3"/>
      <c r="B977" s="3"/>
      <c r="C977" s="3"/>
      <c r="D977" s="3"/>
      <c r="E977" s="3"/>
      <c r="F977" s="3"/>
      <c r="G977" s="3"/>
    </row>
    <row r="978">
      <c r="A978" s="3"/>
      <c r="B978" s="3"/>
      <c r="C978" s="3"/>
      <c r="D978" s="3"/>
      <c r="E978" s="3"/>
      <c r="F978" s="3"/>
      <c r="G978" s="3"/>
    </row>
    <row r="979">
      <c r="A979" s="3"/>
      <c r="B979" s="3"/>
      <c r="C979" s="3"/>
      <c r="D979" s="3"/>
      <c r="E979" s="3"/>
      <c r="F979" s="3"/>
      <c r="G979" s="3"/>
    </row>
    <row r="980">
      <c r="A980" s="3"/>
      <c r="B980" s="3"/>
      <c r="C980" s="3"/>
      <c r="D980" s="3"/>
      <c r="E980" s="3"/>
      <c r="F980" s="3"/>
      <c r="G980" s="3"/>
    </row>
    <row r="981">
      <c r="A981" s="3"/>
      <c r="B981" s="3"/>
      <c r="C981" s="3"/>
      <c r="D981" s="3"/>
      <c r="E981" s="3"/>
      <c r="F981" s="3"/>
      <c r="G981" s="3"/>
    </row>
    <row r="982">
      <c r="A982" s="3"/>
      <c r="B982" s="3"/>
      <c r="C982" s="3"/>
      <c r="D982" s="3"/>
      <c r="E982" s="3"/>
      <c r="F982" s="3"/>
      <c r="G982" s="3"/>
    </row>
    <row r="983">
      <c r="A983" s="3"/>
      <c r="B983" s="3"/>
      <c r="C983" s="3"/>
      <c r="D983" s="3"/>
      <c r="E983" s="3"/>
      <c r="F983" s="3"/>
      <c r="G983" s="3"/>
    </row>
    <row r="984">
      <c r="A984" s="3"/>
      <c r="B984" s="3"/>
      <c r="C984" s="3"/>
      <c r="D984" s="3"/>
      <c r="E984" s="3"/>
      <c r="F984" s="3"/>
      <c r="G984" s="3"/>
    </row>
    <row r="985">
      <c r="A985" s="3"/>
      <c r="B985" s="3"/>
      <c r="C985" s="3"/>
      <c r="D985" s="3"/>
      <c r="E985" s="3"/>
      <c r="F985" s="3"/>
      <c r="G985" s="3"/>
    </row>
    <row r="986">
      <c r="A986" s="3"/>
      <c r="B986" s="3"/>
      <c r="C986" s="3"/>
      <c r="D986" s="3"/>
      <c r="E986" s="3"/>
      <c r="F986" s="3"/>
      <c r="G986" s="3"/>
    </row>
    <row r="987">
      <c r="A987" s="3"/>
      <c r="B987" s="3"/>
      <c r="C987" s="3"/>
      <c r="D987" s="3"/>
      <c r="E987" s="3"/>
      <c r="F987" s="3"/>
      <c r="G987" s="3"/>
    </row>
    <row r="988">
      <c r="A988" s="3"/>
      <c r="B988" s="3"/>
      <c r="C988" s="3"/>
      <c r="D988" s="3"/>
      <c r="E988" s="3"/>
      <c r="F988" s="3"/>
      <c r="G988" s="3"/>
    </row>
    <row r="989">
      <c r="A989" s="3"/>
      <c r="B989" s="3"/>
      <c r="C989" s="3"/>
      <c r="D989" s="3"/>
      <c r="E989" s="3"/>
      <c r="F989" s="3"/>
      <c r="G989" s="3"/>
    </row>
    <row r="990">
      <c r="A990" s="3"/>
      <c r="B990" s="3"/>
      <c r="C990" s="3"/>
      <c r="D990" s="3"/>
      <c r="E990" s="3"/>
      <c r="F990" s="3"/>
      <c r="G990" s="3"/>
    </row>
    <row r="991">
      <c r="A991" s="3"/>
      <c r="B991" s="3"/>
      <c r="C991" s="3"/>
      <c r="D991" s="3"/>
      <c r="E991" s="3"/>
      <c r="F991" s="3"/>
      <c r="G991" s="3"/>
    </row>
    <row r="992">
      <c r="A992" s="3"/>
      <c r="B992" s="3"/>
      <c r="C992" s="3"/>
      <c r="D992" s="3"/>
      <c r="E992" s="3"/>
      <c r="F992" s="3"/>
      <c r="G992" s="3"/>
    </row>
    <row r="993">
      <c r="A993" s="3"/>
      <c r="B993" s="3"/>
      <c r="C993" s="3"/>
      <c r="D993" s="3"/>
      <c r="E993" s="3"/>
      <c r="F993" s="3"/>
      <c r="G993" s="3"/>
    </row>
    <row r="994">
      <c r="A994" s="3"/>
      <c r="B994" s="3"/>
      <c r="C994" s="3"/>
      <c r="D994" s="3"/>
      <c r="E994" s="3"/>
      <c r="F994" s="3"/>
      <c r="G994" s="3"/>
    </row>
    <row r="995">
      <c r="A995" s="3"/>
      <c r="B995" s="3"/>
      <c r="C995" s="3"/>
      <c r="D995" s="3"/>
      <c r="E995" s="3"/>
      <c r="F995" s="3"/>
      <c r="G995" s="3"/>
    </row>
    <row r="996">
      <c r="A996" s="3"/>
      <c r="B996" s="3"/>
      <c r="C996" s="3"/>
      <c r="D996" s="3"/>
      <c r="E996" s="3"/>
      <c r="F996" s="3"/>
      <c r="G996" s="3"/>
    </row>
    <row r="997">
      <c r="A997" s="3"/>
      <c r="B997" s="3"/>
      <c r="C997" s="3"/>
      <c r="D997" s="3"/>
      <c r="E997" s="3"/>
      <c r="F997" s="3"/>
      <c r="G997" s="3"/>
    </row>
    <row r="998">
      <c r="A998" s="3"/>
      <c r="B998" s="3"/>
      <c r="C998" s="3"/>
      <c r="D998" s="3"/>
      <c r="E998" s="3"/>
      <c r="F998" s="3"/>
      <c r="G998" s="3"/>
    </row>
    <row r="999">
      <c r="A999" s="3"/>
      <c r="B999" s="3"/>
      <c r="C999" s="3"/>
      <c r="D999" s="3"/>
      <c r="E999" s="3"/>
      <c r="F999" s="3"/>
      <c r="G999" s="3"/>
    </row>
    <row r="1000">
      <c r="A1000" s="3"/>
      <c r="B1000" s="3"/>
      <c r="C1000" s="3"/>
      <c r="D1000" s="3"/>
      <c r="E1000" s="3"/>
      <c r="F1000" s="3"/>
      <c r="G1000" s="3"/>
    </row>
    <row r="1001">
      <c r="A1001" s="3"/>
      <c r="B1001" s="3"/>
      <c r="C1001" s="3"/>
      <c r="D1001" s="3"/>
      <c r="E1001" s="3"/>
      <c r="F1001" s="3"/>
      <c r="G1001" s="3"/>
    </row>
    <row r="1002">
      <c r="A1002" s="3"/>
      <c r="B1002" s="3"/>
      <c r="C1002" s="3"/>
      <c r="D1002" s="3"/>
      <c r="E1002" s="3"/>
      <c r="F1002" s="3"/>
      <c r="G1002" s="3"/>
    </row>
    <row r="1003">
      <c r="A1003" s="3"/>
      <c r="B1003" s="3"/>
      <c r="C1003" s="3"/>
      <c r="D1003" s="3"/>
      <c r="E1003" s="3"/>
      <c r="F1003" s="3"/>
      <c r="G1003" s="3"/>
    </row>
    <row r="1004">
      <c r="A1004" s="3"/>
      <c r="B1004" s="3"/>
      <c r="C1004" s="3"/>
      <c r="D1004" s="3"/>
      <c r="E1004" s="3"/>
      <c r="F1004" s="3"/>
      <c r="G1004" s="3"/>
    </row>
    <row r="1005">
      <c r="A1005" s="3"/>
      <c r="B1005" s="3"/>
      <c r="C1005" s="3"/>
      <c r="D1005" s="3"/>
      <c r="E1005" s="3"/>
      <c r="F1005" s="3"/>
      <c r="G1005" s="3"/>
    </row>
    <row r="1006">
      <c r="A1006" s="3"/>
      <c r="B1006" s="3"/>
      <c r="C1006" s="3"/>
      <c r="D1006" s="3"/>
      <c r="E1006" s="3"/>
      <c r="F1006" s="3"/>
      <c r="G1006" s="3"/>
    </row>
    <row r="1007">
      <c r="A1007" s="3"/>
      <c r="B1007" s="3"/>
      <c r="C1007" s="3"/>
      <c r="D1007" s="3"/>
      <c r="E1007" s="3"/>
      <c r="F1007" s="3"/>
      <c r="G1007" s="3"/>
    </row>
    <row r="1008">
      <c r="A1008" s="3"/>
      <c r="B1008" s="3"/>
      <c r="C1008" s="3"/>
      <c r="D1008" s="3"/>
      <c r="E1008" s="3"/>
      <c r="F1008" s="3"/>
      <c r="G1008" s="3"/>
    </row>
    <row r="1009">
      <c r="A1009" s="3"/>
      <c r="B1009" s="3"/>
      <c r="C1009" s="3"/>
      <c r="D1009" s="3"/>
      <c r="E1009" s="3"/>
      <c r="F1009" s="3"/>
      <c r="G1009" s="3"/>
    </row>
    <row r="1010">
      <c r="A1010" s="3"/>
      <c r="B1010" s="3"/>
      <c r="C1010" s="3"/>
      <c r="D1010" s="3"/>
      <c r="E1010" s="3"/>
      <c r="F1010" s="3"/>
      <c r="G1010" s="3"/>
    </row>
    <row r="1011">
      <c r="A1011" s="3"/>
      <c r="B1011" s="3"/>
      <c r="C1011" s="3"/>
      <c r="D1011" s="3"/>
      <c r="E1011" s="3"/>
      <c r="F1011" s="3"/>
      <c r="G1011" s="3"/>
    </row>
    <row r="1012">
      <c r="A1012" s="3"/>
      <c r="B1012" s="3"/>
      <c r="C1012" s="3"/>
      <c r="D1012" s="3"/>
      <c r="E1012" s="3"/>
      <c r="F1012" s="3"/>
      <c r="G1012" s="3"/>
    </row>
    <row r="1013">
      <c r="A1013" s="3"/>
      <c r="B1013" s="3"/>
      <c r="C1013" s="3"/>
      <c r="D1013" s="3"/>
      <c r="E1013" s="3"/>
      <c r="F1013" s="3"/>
      <c r="G1013" s="3"/>
    </row>
    <row r="1014">
      <c r="A1014" s="3"/>
      <c r="B1014" s="3"/>
      <c r="C1014" s="3"/>
      <c r="D1014" s="3"/>
      <c r="E1014" s="3"/>
      <c r="F1014" s="3"/>
      <c r="G1014" s="3"/>
    </row>
    <row r="1015">
      <c r="A1015" s="3"/>
      <c r="B1015" s="3"/>
      <c r="C1015" s="3"/>
      <c r="D1015" s="3"/>
      <c r="E1015" s="3"/>
      <c r="F1015" s="3"/>
      <c r="G1015" s="3"/>
    </row>
    <row r="1016">
      <c r="A1016" s="3"/>
      <c r="B1016" s="3"/>
      <c r="C1016" s="3"/>
      <c r="D1016" s="3"/>
      <c r="E1016" s="3"/>
      <c r="F1016" s="3"/>
      <c r="G1016" s="3"/>
    </row>
    <row r="1017">
      <c r="A1017" s="3"/>
      <c r="B1017" s="3"/>
      <c r="C1017" s="3"/>
      <c r="D1017" s="3"/>
      <c r="E1017" s="3"/>
      <c r="F1017" s="3"/>
      <c r="G1017" s="3"/>
    </row>
    <row r="1018">
      <c r="A1018" s="3"/>
      <c r="B1018" s="3"/>
      <c r="C1018" s="3"/>
      <c r="D1018" s="3"/>
      <c r="E1018" s="3"/>
      <c r="F1018" s="3"/>
      <c r="G1018" s="3"/>
    </row>
    <row r="1019">
      <c r="A1019" s="3"/>
      <c r="B1019" s="3"/>
      <c r="C1019" s="3"/>
      <c r="D1019" s="3"/>
      <c r="E1019" s="3"/>
      <c r="F1019" s="3"/>
      <c r="G1019" s="3"/>
    </row>
    <row r="1020">
      <c r="A1020" s="3"/>
      <c r="B1020" s="3"/>
      <c r="C1020" s="3"/>
      <c r="D1020" s="3"/>
      <c r="E1020" s="3"/>
      <c r="F1020" s="3"/>
      <c r="G1020" s="3"/>
    </row>
    <row r="1021">
      <c r="A1021" s="3"/>
      <c r="B1021" s="3"/>
      <c r="C1021" s="3"/>
      <c r="D1021" s="3"/>
      <c r="E1021" s="3"/>
      <c r="F1021" s="3"/>
      <c r="G1021" s="3"/>
    </row>
    <row r="1022">
      <c r="A1022" s="3"/>
      <c r="B1022" s="3"/>
      <c r="C1022" s="3"/>
      <c r="D1022" s="3"/>
      <c r="E1022" s="3"/>
      <c r="F1022" s="3"/>
      <c r="G1022" s="3"/>
    </row>
    <row r="1023">
      <c r="A1023" s="3"/>
      <c r="B1023" s="3"/>
      <c r="C1023" s="3"/>
      <c r="D1023" s="3"/>
      <c r="E1023" s="3"/>
      <c r="F1023" s="3"/>
      <c r="G1023" s="3"/>
    </row>
    <row r="1024">
      <c r="A1024" s="3"/>
      <c r="B1024" s="3"/>
      <c r="C1024" s="3"/>
      <c r="D1024" s="3"/>
      <c r="E1024" s="3"/>
      <c r="F1024" s="3"/>
      <c r="G1024" s="3"/>
    </row>
    <row r="1025">
      <c r="A1025" s="3"/>
      <c r="B1025" s="3"/>
      <c r="C1025" s="3"/>
      <c r="D1025" s="3"/>
      <c r="E1025" s="3"/>
      <c r="F1025" s="3"/>
      <c r="G1025" s="3"/>
    </row>
    <row r="1026">
      <c r="A1026" s="3"/>
      <c r="B1026" s="3"/>
      <c r="C1026" s="3"/>
      <c r="D1026" s="3"/>
      <c r="E1026" s="3"/>
      <c r="F1026" s="3"/>
      <c r="G1026" s="3"/>
    </row>
    <row r="1027">
      <c r="A1027" s="3"/>
      <c r="B1027" s="3"/>
      <c r="C1027" s="3"/>
      <c r="D1027" s="3"/>
      <c r="E1027" s="3"/>
      <c r="F1027" s="3"/>
      <c r="G1027" s="3"/>
    </row>
    <row r="1028">
      <c r="A1028" s="3"/>
      <c r="B1028" s="3"/>
      <c r="C1028" s="3"/>
      <c r="D1028" s="3"/>
      <c r="E1028" s="3"/>
      <c r="F1028" s="3"/>
      <c r="G1028" s="3"/>
    </row>
    <row r="1029">
      <c r="A1029" s="3"/>
      <c r="B1029" s="3"/>
      <c r="C1029" s="3"/>
      <c r="D1029" s="3"/>
      <c r="E1029" s="3"/>
      <c r="F1029" s="3"/>
      <c r="G1029" s="3"/>
    </row>
    <row r="1030">
      <c r="A1030" s="3"/>
      <c r="B1030" s="3"/>
      <c r="C1030" s="3"/>
      <c r="D1030" s="3"/>
      <c r="E1030" s="3"/>
      <c r="F1030" s="3"/>
      <c r="G1030" s="3"/>
    </row>
    <row r="1031">
      <c r="A1031" s="3"/>
      <c r="B1031" s="3"/>
      <c r="C1031" s="3"/>
      <c r="D1031" s="3"/>
      <c r="E1031" s="3"/>
      <c r="F1031" s="3"/>
      <c r="G1031" s="3"/>
    </row>
    <row r="1032">
      <c r="A1032" s="3"/>
      <c r="B1032" s="3"/>
      <c r="C1032" s="3"/>
      <c r="D1032" s="3"/>
      <c r="E1032" s="3"/>
      <c r="F1032" s="3"/>
      <c r="G1032" s="3"/>
    </row>
    <row r="1033">
      <c r="A1033" s="3"/>
      <c r="B1033" s="3"/>
      <c r="C1033" s="3"/>
      <c r="D1033" s="3"/>
      <c r="E1033" s="3"/>
      <c r="F1033" s="3"/>
      <c r="G1033" s="3"/>
    </row>
    <row r="1034">
      <c r="A1034" s="3"/>
      <c r="B1034" s="3"/>
      <c r="C1034" s="3"/>
      <c r="D1034" s="3"/>
      <c r="E1034" s="3"/>
      <c r="F1034" s="3"/>
      <c r="G1034" s="3"/>
    </row>
    <row r="1035">
      <c r="A1035" s="3"/>
      <c r="B1035" s="3"/>
      <c r="C1035" s="3"/>
      <c r="D1035" s="3"/>
      <c r="E1035" s="3"/>
      <c r="F1035" s="3"/>
      <c r="G1035" s="3"/>
    </row>
    <row r="1036">
      <c r="A1036" s="3"/>
      <c r="B1036" s="3"/>
      <c r="C1036" s="3"/>
      <c r="D1036" s="3"/>
      <c r="E1036" s="3"/>
      <c r="F1036" s="3"/>
      <c r="G1036" s="3"/>
    </row>
    <row r="1037">
      <c r="A1037" s="3"/>
      <c r="B1037" s="3"/>
      <c r="C1037" s="3"/>
      <c r="D1037" s="3"/>
      <c r="E1037" s="3"/>
      <c r="F1037" s="3"/>
      <c r="G1037" s="3"/>
    </row>
  </sheetData>
  <mergeCells count="3">
    <mergeCell ref="D3:D6"/>
    <mergeCell ref="D7:D11"/>
    <mergeCell ref="D12:D16"/>
  </mergeCells>
  <hyperlinks>
    <hyperlink r:id="rId1" ref="E3"/>
    <hyperlink r:id="rId2" location="slide=id.gd0fbd4c1e7_3_214" ref="E4"/>
    <hyperlink r:id="rId3" ref="E5"/>
    <hyperlink r:id="rId4" ref="E6"/>
    <hyperlink r:id="rId5" ref="E7"/>
    <hyperlink r:id="rId6" ref="E8"/>
    <hyperlink r:id="rId7" ref="E12"/>
    <hyperlink r:id="rId8" location="!/browse" ref="E13"/>
    <hyperlink r:id="rId9" location="gid=1677354010" ref="E14"/>
    <hyperlink r:id="rId10" ref="E16"/>
    <hyperlink r:id="rId11" ref="E48"/>
    <hyperlink r:id="rId12" ref="E69"/>
    <hyperlink r:id="rId13" ref="E115"/>
  </hyperlinks>
  <drawing r:id="rId1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40.5"/>
    <col customWidth="1" min="3" max="3" width="59.38"/>
    <col customWidth="1" min="4" max="4" width="88.5"/>
    <col customWidth="1" min="5" max="5" width="4.63"/>
  </cols>
  <sheetData>
    <row r="1">
      <c r="A1" s="1"/>
      <c r="B1" s="1"/>
      <c r="C1" s="1"/>
      <c r="D1" s="3"/>
      <c r="E1" s="3"/>
    </row>
    <row r="2">
      <c r="A2" s="224" t="s">
        <v>433</v>
      </c>
      <c r="B2" s="225" t="s">
        <v>271</v>
      </c>
      <c r="C2" s="226" t="s">
        <v>272</v>
      </c>
      <c r="D2" s="227" t="s">
        <v>159</v>
      </c>
      <c r="E2" s="3"/>
    </row>
    <row r="3">
      <c r="A3" s="228" t="b">
        <v>0</v>
      </c>
      <c r="B3" s="229" t="s">
        <v>273</v>
      </c>
      <c r="C3" s="221" t="s">
        <v>274</v>
      </c>
      <c r="D3" s="230" t="s">
        <v>275</v>
      </c>
      <c r="E3" s="3"/>
    </row>
    <row r="4">
      <c r="A4" s="228" t="b">
        <v>0</v>
      </c>
      <c r="B4" s="231"/>
      <c r="C4" s="221" t="s">
        <v>276</v>
      </c>
      <c r="D4" s="230" t="s">
        <v>277</v>
      </c>
      <c r="E4" s="3"/>
    </row>
    <row r="5">
      <c r="A5" s="228" t="b">
        <v>0</v>
      </c>
      <c r="B5" s="231"/>
      <c r="C5" s="221" t="s">
        <v>278</v>
      </c>
      <c r="D5" s="230" t="s">
        <v>279</v>
      </c>
      <c r="E5" s="3"/>
    </row>
    <row r="6">
      <c r="A6" s="228" t="b">
        <v>0</v>
      </c>
      <c r="B6" s="232"/>
      <c r="C6" s="233" t="s">
        <v>280</v>
      </c>
      <c r="D6" s="230" t="s">
        <v>281</v>
      </c>
      <c r="E6" s="3"/>
    </row>
    <row r="7">
      <c r="A7" s="1" t="b">
        <v>0</v>
      </c>
      <c r="B7" s="234" t="s">
        <v>434</v>
      </c>
      <c r="C7" s="235" t="s">
        <v>283</v>
      </c>
      <c r="D7" s="236" t="s">
        <v>284</v>
      </c>
      <c r="E7" s="3"/>
    </row>
    <row r="8">
      <c r="A8" s="228" t="b">
        <v>0</v>
      </c>
      <c r="B8" s="231"/>
      <c r="C8" s="221" t="s">
        <v>435</v>
      </c>
      <c r="D8" s="230" t="s">
        <v>436</v>
      </c>
      <c r="E8" s="3"/>
    </row>
    <row r="9">
      <c r="A9" s="228" t="b">
        <v>0</v>
      </c>
      <c r="B9" s="231"/>
      <c r="C9" s="221" t="s">
        <v>437</v>
      </c>
      <c r="D9" s="230" t="s">
        <v>438</v>
      </c>
      <c r="E9" s="3"/>
    </row>
    <row r="10">
      <c r="A10" s="228" t="b">
        <v>0</v>
      </c>
      <c r="B10" s="231"/>
      <c r="C10" s="221" t="s">
        <v>215</v>
      </c>
      <c r="D10" s="230" t="s">
        <v>439</v>
      </c>
      <c r="E10" s="3"/>
    </row>
    <row r="11">
      <c r="A11" s="228" t="b">
        <v>0</v>
      </c>
      <c r="B11" s="237"/>
      <c r="C11" s="288" t="s">
        <v>440</v>
      </c>
      <c r="D11" s="239" t="s">
        <v>441</v>
      </c>
      <c r="E11" s="3"/>
    </row>
    <row r="12">
      <c r="A12" s="228" t="b">
        <v>0</v>
      </c>
      <c r="B12" s="229" t="s">
        <v>442</v>
      </c>
      <c r="C12" s="221" t="s">
        <v>78</v>
      </c>
      <c r="D12" s="230" t="s">
        <v>443</v>
      </c>
      <c r="E12" s="3"/>
    </row>
    <row r="13">
      <c r="A13" s="1" t="b">
        <v>0</v>
      </c>
      <c r="B13" s="231"/>
      <c r="C13" s="233" t="s">
        <v>444</v>
      </c>
      <c r="D13" s="230" t="s">
        <v>445</v>
      </c>
      <c r="E13" s="3"/>
    </row>
    <row r="14">
      <c r="A14" s="220" t="b">
        <v>0</v>
      </c>
      <c r="B14" s="231"/>
      <c r="C14" s="233" t="s">
        <v>446</v>
      </c>
      <c r="D14" s="230" t="s">
        <v>447</v>
      </c>
      <c r="E14" s="3"/>
    </row>
    <row r="15">
      <c r="A15" s="220" t="b">
        <v>0</v>
      </c>
      <c r="B15" s="231"/>
      <c r="C15" s="233" t="s">
        <v>448</v>
      </c>
      <c r="D15" s="289" t="s">
        <v>449</v>
      </c>
      <c r="E15" s="3"/>
    </row>
    <row r="16">
      <c r="A16" s="1" t="b">
        <v>0</v>
      </c>
      <c r="B16" s="237"/>
      <c r="C16" s="221" t="s">
        <v>450</v>
      </c>
      <c r="D16" s="230" t="s">
        <v>451</v>
      </c>
      <c r="E16" s="3"/>
    </row>
    <row r="17">
      <c r="A17" s="1" t="b">
        <v>0</v>
      </c>
      <c r="B17" s="240" t="s">
        <v>287</v>
      </c>
      <c r="C17" s="241" t="s">
        <v>288</v>
      </c>
      <c r="D17" s="242" t="s">
        <v>289</v>
      </c>
      <c r="E17" s="3"/>
    </row>
    <row r="18">
      <c r="A18" s="1" t="b">
        <v>0</v>
      </c>
      <c r="B18" s="231"/>
      <c r="C18" s="221" t="s">
        <v>185</v>
      </c>
      <c r="D18" s="230" t="s">
        <v>290</v>
      </c>
      <c r="E18" s="3"/>
    </row>
    <row r="19">
      <c r="A19" s="1" t="b">
        <v>0</v>
      </c>
      <c r="B19" s="231"/>
      <c r="C19" s="221" t="s">
        <v>291</v>
      </c>
      <c r="D19" s="230" t="s">
        <v>292</v>
      </c>
      <c r="E19" s="3"/>
    </row>
    <row r="20">
      <c r="A20" s="1" t="b">
        <v>0</v>
      </c>
      <c r="B20" s="231"/>
      <c r="C20" s="221" t="s">
        <v>452</v>
      </c>
      <c r="D20" s="230" t="s">
        <v>453</v>
      </c>
      <c r="E20" s="3"/>
    </row>
    <row r="21">
      <c r="B21" s="232"/>
      <c r="C21" s="243" t="s">
        <v>293</v>
      </c>
      <c r="D21" s="244" t="s">
        <v>294</v>
      </c>
      <c r="E21" s="3"/>
    </row>
    <row r="22">
      <c r="A22" s="1"/>
      <c r="B22" s="1"/>
      <c r="C22" s="3"/>
      <c r="D22" s="3"/>
      <c r="E22" s="3"/>
    </row>
    <row r="23">
      <c r="A23" s="1"/>
      <c r="B23" s="245" t="s">
        <v>295</v>
      </c>
      <c r="C23" s="246" t="s">
        <v>159</v>
      </c>
      <c r="D23" s="3"/>
      <c r="E23" s="3"/>
    </row>
    <row r="24">
      <c r="A24" s="228" t="b">
        <v>0</v>
      </c>
      <c r="B24" s="290" t="s">
        <v>454</v>
      </c>
      <c r="C24" s="230" t="s">
        <v>455</v>
      </c>
      <c r="D24" s="248"/>
      <c r="E24" s="3"/>
    </row>
    <row r="25">
      <c r="A25" s="228" t="b">
        <v>0</v>
      </c>
      <c r="B25" s="290" t="s">
        <v>456</v>
      </c>
      <c r="C25" s="230" t="s">
        <v>457</v>
      </c>
      <c r="D25" s="248"/>
      <c r="E25" s="3"/>
    </row>
    <row r="26">
      <c r="A26" s="228" t="b">
        <v>0</v>
      </c>
      <c r="B26" s="290" t="s">
        <v>458</v>
      </c>
      <c r="C26" s="230" t="s">
        <v>459</v>
      </c>
      <c r="D26" s="248"/>
      <c r="E26" s="3"/>
    </row>
    <row r="27">
      <c r="A27" s="220" t="b">
        <v>0</v>
      </c>
      <c r="B27" s="290" t="s">
        <v>460</v>
      </c>
      <c r="C27" s="230" t="s">
        <v>461</v>
      </c>
      <c r="D27" s="248"/>
      <c r="E27" s="3"/>
    </row>
    <row r="28">
      <c r="A28" s="220" t="b">
        <v>0</v>
      </c>
      <c r="B28" s="291" t="s">
        <v>462</v>
      </c>
      <c r="C28" s="244" t="s">
        <v>463</v>
      </c>
      <c r="D28" s="248"/>
      <c r="E28" s="3"/>
    </row>
    <row r="29">
      <c r="A29" s="3"/>
      <c r="B29" s="3"/>
      <c r="C29" s="3"/>
      <c r="D29" s="3"/>
      <c r="E29" s="3"/>
    </row>
    <row r="30">
      <c r="A30" s="220"/>
      <c r="B30" s="250" t="s">
        <v>464</v>
      </c>
      <c r="C30" s="250" t="s">
        <v>159</v>
      </c>
      <c r="D30" s="3"/>
      <c r="E30" s="3"/>
    </row>
    <row r="31">
      <c r="A31" s="220" t="b">
        <v>0</v>
      </c>
      <c r="B31" s="252" t="s">
        <v>465</v>
      </c>
      <c r="C31" s="252" t="s">
        <v>298</v>
      </c>
      <c r="D31" s="3"/>
      <c r="E31" s="3"/>
    </row>
    <row r="32">
      <c r="A32" s="220" t="b">
        <v>0</v>
      </c>
      <c r="B32" s="252" t="s">
        <v>466</v>
      </c>
      <c r="C32" s="252" t="s">
        <v>467</v>
      </c>
      <c r="D32" s="3"/>
      <c r="E32" s="3"/>
    </row>
    <row r="33">
      <c r="A33" s="220" t="b">
        <v>0</v>
      </c>
      <c r="B33" s="252" t="s">
        <v>468</v>
      </c>
      <c r="C33" s="252" t="s">
        <v>469</v>
      </c>
      <c r="D33" s="3"/>
      <c r="E33" s="3"/>
    </row>
    <row r="34" hidden="1">
      <c r="A34" s="220" t="b">
        <v>1</v>
      </c>
      <c r="B34" s="252" t="s">
        <v>470</v>
      </c>
      <c r="C34" s="252" t="s">
        <v>471</v>
      </c>
      <c r="D34" s="3"/>
      <c r="E34" s="3"/>
    </row>
    <row r="35">
      <c r="A35" s="220" t="b">
        <v>0</v>
      </c>
      <c r="B35" s="252" t="s">
        <v>472</v>
      </c>
      <c r="C35" s="253" t="s">
        <v>473</v>
      </c>
      <c r="D35" s="3"/>
      <c r="E35" s="3"/>
    </row>
    <row r="36">
      <c r="A36" s="220" t="b">
        <v>0</v>
      </c>
      <c r="B36" s="252" t="s">
        <v>474</v>
      </c>
      <c r="C36" s="253" t="s">
        <v>304</v>
      </c>
      <c r="D36" s="3"/>
      <c r="E36" s="3"/>
    </row>
    <row r="37">
      <c r="A37" s="220" t="b">
        <v>0</v>
      </c>
      <c r="B37" s="252" t="s">
        <v>475</v>
      </c>
      <c r="C37" s="253" t="s">
        <v>306</v>
      </c>
      <c r="D37" s="3"/>
      <c r="E37" s="3"/>
    </row>
    <row r="38">
      <c r="A38" s="220" t="b">
        <v>0</v>
      </c>
      <c r="B38" s="252" t="s">
        <v>476</v>
      </c>
      <c r="C38" s="253" t="s">
        <v>308</v>
      </c>
      <c r="D38" s="3"/>
      <c r="E38" s="3"/>
    </row>
    <row r="39">
      <c r="A39" s="220" t="b">
        <v>0</v>
      </c>
      <c r="B39" s="252" t="s">
        <v>477</v>
      </c>
      <c r="C39" s="253" t="s">
        <v>310</v>
      </c>
      <c r="D39" s="3"/>
      <c r="E39" s="3"/>
    </row>
    <row r="40">
      <c r="A40" s="220" t="b">
        <v>0</v>
      </c>
      <c r="B40" s="252" t="s">
        <v>478</v>
      </c>
      <c r="C40" s="253" t="s">
        <v>312</v>
      </c>
      <c r="D40" s="3"/>
      <c r="E40" s="3"/>
    </row>
    <row r="41">
      <c r="A41" s="220" t="b">
        <v>0</v>
      </c>
      <c r="B41" s="252" t="s">
        <v>479</v>
      </c>
      <c r="C41" s="253" t="s">
        <v>314</v>
      </c>
      <c r="D41" s="3"/>
      <c r="E41" s="3"/>
    </row>
    <row r="42">
      <c r="A42" s="220" t="b">
        <v>0</v>
      </c>
      <c r="B42" s="254" t="s">
        <v>480</v>
      </c>
      <c r="C42" s="253" t="s">
        <v>316</v>
      </c>
      <c r="D42" s="3"/>
      <c r="E42" s="3"/>
    </row>
    <row r="43">
      <c r="A43" s="220" t="b">
        <v>0</v>
      </c>
      <c r="B43" s="292" t="s">
        <v>481</v>
      </c>
      <c r="C43" s="287" t="s">
        <v>318</v>
      </c>
      <c r="D43" s="3"/>
      <c r="E43" s="3"/>
    </row>
    <row r="44">
      <c r="A44" s="220"/>
      <c r="B44" s="293" t="s">
        <v>482</v>
      </c>
      <c r="C44" s="294"/>
      <c r="D44" s="3"/>
      <c r="E44" s="3"/>
    </row>
    <row r="45">
      <c r="A45" s="220" t="b">
        <v>0</v>
      </c>
      <c r="B45" s="254" t="s">
        <v>483</v>
      </c>
      <c r="C45" s="281" t="s">
        <v>369</v>
      </c>
      <c r="D45" s="3"/>
      <c r="E45" s="3"/>
    </row>
    <row r="46">
      <c r="A46" s="220" t="b">
        <v>0</v>
      </c>
      <c r="B46" s="252" t="s">
        <v>484</v>
      </c>
      <c r="C46" s="253" t="s">
        <v>371</v>
      </c>
      <c r="D46" s="3"/>
      <c r="E46" s="3"/>
    </row>
    <row r="47">
      <c r="A47" s="220" t="b">
        <v>0</v>
      </c>
      <c r="B47" s="252" t="s">
        <v>485</v>
      </c>
      <c r="C47" s="253" t="s">
        <v>373</v>
      </c>
      <c r="D47" s="3"/>
      <c r="E47" s="3"/>
    </row>
    <row r="48">
      <c r="A48" s="220" t="b">
        <v>0</v>
      </c>
      <c r="B48" s="254" t="s">
        <v>486</v>
      </c>
      <c r="C48" s="281" t="s">
        <v>487</v>
      </c>
      <c r="D48" s="3"/>
      <c r="E48" s="3"/>
    </row>
    <row r="49">
      <c r="A49" s="220" t="b">
        <v>0</v>
      </c>
      <c r="B49" s="254" t="s">
        <v>488</v>
      </c>
      <c r="C49" s="281" t="s">
        <v>383</v>
      </c>
      <c r="D49" s="3"/>
      <c r="E49" s="3"/>
    </row>
    <row r="50">
      <c r="A50" s="220" t="b">
        <v>0</v>
      </c>
      <c r="B50" s="254" t="s">
        <v>489</v>
      </c>
      <c r="C50" s="281" t="s">
        <v>385</v>
      </c>
      <c r="D50" s="3"/>
      <c r="E50" s="3"/>
    </row>
    <row r="51">
      <c r="A51" s="220" t="b">
        <v>0</v>
      </c>
      <c r="B51" s="254" t="s">
        <v>490</v>
      </c>
      <c r="C51" s="281" t="s">
        <v>387</v>
      </c>
      <c r="D51" s="3"/>
      <c r="E51" s="3"/>
    </row>
    <row r="52">
      <c r="A52" s="220" t="b">
        <v>0</v>
      </c>
      <c r="B52" s="254" t="s">
        <v>491</v>
      </c>
      <c r="C52" s="281" t="s">
        <v>393</v>
      </c>
      <c r="D52" s="3"/>
      <c r="E52" s="3"/>
    </row>
    <row r="53">
      <c r="A53" s="220" t="b">
        <v>0</v>
      </c>
      <c r="B53" s="254" t="s">
        <v>492</v>
      </c>
      <c r="C53" s="281" t="s">
        <v>395</v>
      </c>
      <c r="D53" s="3"/>
      <c r="E53" s="3"/>
    </row>
    <row r="54">
      <c r="A54" s="220" t="b">
        <v>0</v>
      </c>
      <c r="B54" s="256" t="s">
        <v>493</v>
      </c>
      <c r="C54" s="230" t="s">
        <v>397</v>
      </c>
      <c r="D54" s="3"/>
      <c r="E54" s="3"/>
    </row>
    <row r="55">
      <c r="A55" s="220" t="b">
        <v>0</v>
      </c>
      <c r="B55" s="256" t="s">
        <v>494</v>
      </c>
      <c r="C55" s="230" t="s">
        <v>399</v>
      </c>
      <c r="D55" s="3"/>
      <c r="E55" s="3"/>
    </row>
    <row r="56">
      <c r="A56" s="220" t="b">
        <v>0</v>
      </c>
      <c r="B56" s="259" t="s">
        <v>495</v>
      </c>
      <c r="C56" s="244" t="s">
        <v>401</v>
      </c>
      <c r="D56" s="3"/>
      <c r="E56" s="3"/>
    </row>
    <row r="57">
      <c r="A57" s="220"/>
      <c r="B57" s="220"/>
      <c r="C57" s="220"/>
      <c r="D57" s="3"/>
      <c r="E57" s="3"/>
    </row>
    <row r="58">
      <c r="A58" s="220"/>
      <c r="B58" s="284" t="s">
        <v>402</v>
      </c>
      <c r="C58" s="284" t="s">
        <v>159</v>
      </c>
      <c r="D58" s="3"/>
      <c r="E58" s="3"/>
    </row>
    <row r="59">
      <c r="A59" s="220" t="b">
        <v>0</v>
      </c>
      <c r="B59" s="253" t="s">
        <v>496</v>
      </c>
      <c r="C59" s="285" t="s">
        <v>497</v>
      </c>
      <c r="D59" s="3"/>
      <c r="E59" s="3"/>
    </row>
    <row r="60">
      <c r="A60" s="220" t="b">
        <v>0</v>
      </c>
      <c r="B60" s="253" t="s">
        <v>405</v>
      </c>
      <c r="C60" s="253" t="s">
        <v>406</v>
      </c>
      <c r="D60" s="3"/>
      <c r="E60" s="3"/>
    </row>
    <row r="61">
      <c r="A61" s="220" t="b">
        <v>0</v>
      </c>
      <c r="B61" s="253" t="s">
        <v>407</v>
      </c>
      <c r="C61" s="285" t="s">
        <v>408</v>
      </c>
      <c r="D61" s="3"/>
      <c r="E61" s="3"/>
    </row>
    <row r="62">
      <c r="A62" s="220" t="b">
        <v>0</v>
      </c>
      <c r="B62" s="253" t="s">
        <v>409</v>
      </c>
      <c r="C62" s="285" t="s">
        <v>410</v>
      </c>
      <c r="D62" s="3"/>
      <c r="E62" s="3"/>
    </row>
    <row r="63">
      <c r="A63" s="220" t="b">
        <v>0</v>
      </c>
      <c r="B63" s="253" t="s">
        <v>413</v>
      </c>
      <c r="C63" s="286" t="s">
        <v>412</v>
      </c>
      <c r="D63" s="3"/>
      <c r="E63" s="3"/>
    </row>
    <row r="64">
      <c r="A64" s="220" t="b">
        <v>0</v>
      </c>
      <c r="C64" s="253" t="s">
        <v>414</v>
      </c>
      <c r="D64" s="3"/>
      <c r="E64" s="3"/>
    </row>
    <row r="65">
      <c r="A65" s="220" t="b">
        <v>0</v>
      </c>
      <c r="B65" s="253" t="s">
        <v>415</v>
      </c>
      <c r="C65" s="253" t="s">
        <v>414</v>
      </c>
      <c r="D65" s="3"/>
      <c r="E65" s="3"/>
    </row>
    <row r="66">
      <c r="A66" s="220" t="b">
        <v>0</v>
      </c>
      <c r="B66" s="287" t="s">
        <v>416</v>
      </c>
      <c r="C66" s="287" t="s">
        <v>417</v>
      </c>
      <c r="D66" s="3"/>
      <c r="E66" s="3"/>
    </row>
    <row r="67">
      <c r="A67" s="220"/>
      <c r="B67" s="3"/>
      <c r="C67" s="3"/>
      <c r="D67" s="228"/>
      <c r="E67" s="3"/>
    </row>
    <row r="68">
      <c r="A68" s="220"/>
      <c r="B68" s="3"/>
      <c r="C68" s="3"/>
      <c r="D68" s="3"/>
      <c r="E68" s="3"/>
    </row>
    <row r="69">
      <c r="A69" s="220"/>
      <c r="B69" s="295" t="s">
        <v>498</v>
      </c>
      <c r="C69" s="296" t="s">
        <v>499</v>
      </c>
      <c r="D69" s="297" t="s">
        <v>500</v>
      </c>
      <c r="E69" s="3"/>
    </row>
    <row r="70">
      <c r="A70" s="220" t="b">
        <v>0</v>
      </c>
      <c r="B70" s="290" t="s">
        <v>501</v>
      </c>
      <c r="C70" s="220" t="s">
        <v>22</v>
      </c>
      <c r="D70" s="258" t="s">
        <v>502</v>
      </c>
      <c r="E70" s="3"/>
    </row>
    <row r="71">
      <c r="A71" s="3" t="b">
        <v>0</v>
      </c>
      <c r="B71" s="298" t="s">
        <v>503</v>
      </c>
      <c r="C71" s="220" t="s">
        <v>22</v>
      </c>
      <c r="D71" s="230" t="s">
        <v>504</v>
      </c>
      <c r="E71" s="3"/>
    </row>
    <row r="72">
      <c r="A72" s="3" t="b">
        <v>0</v>
      </c>
      <c r="B72" s="290" t="s">
        <v>505</v>
      </c>
      <c r="C72" s="220" t="s">
        <v>22</v>
      </c>
      <c r="D72" s="299" t="s">
        <v>506</v>
      </c>
      <c r="E72" s="3"/>
    </row>
    <row r="73">
      <c r="A73" s="3" t="b">
        <v>0</v>
      </c>
      <c r="B73" s="290" t="s">
        <v>507</v>
      </c>
      <c r="C73" s="220" t="s">
        <v>22</v>
      </c>
      <c r="D73" s="230" t="s">
        <v>508</v>
      </c>
      <c r="E73" s="3"/>
    </row>
    <row r="74">
      <c r="A74" s="3" t="b">
        <v>0</v>
      </c>
      <c r="B74" s="290" t="s">
        <v>509</v>
      </c>
      <c r="C74" s="220" t="s">
        <v>22</v>
      </c>
      <c r="D74" s="230" t="s">
        <v>504</v>
      </c>
      <c r="E74" s="3"/>
    </row>
    <row r="75">
      <c r="A75" s="3" t="b">
        <v>0</v>
      </c>
      <c r="B75" s="290" t="s">
        <v>510</v>
      </c>
      <c r="C75" s="220" t="s">
        <v>22</v>
      </c>
      <c r="D75" s="230" t="s">
        <v>508</v>
      </c>
      <c r="E75" s="3"/>
    </row>
    <row r="76">
      <c r="A76" s="3" t="b">
        <v>0</v>
      </c>
      <c r="B76" s="290" t="s">
        <v>511</v>
      </c>
      <c r="C76" s="220" t="s">
        <v>22</v>
      </c>
      <c r="D76" s="230" t="s">
        <v>508</v>
      </c>
      <c r="E76" s="3"/>
    </row>
    <row r="77">
      <c r="A77" s="3" t="b">
        <v>0</v>
      </c>
      <c r="B77" s="291" t="s">
        <v>512</v>
      </c>
      <c r="C77" s="300" t="s">
        <v>22</v>
      </c>
      <c r="D77" s="244" t="s">
        <v>513</v>
      </c>
      <c r="E77" s="3"/>
    </row>
    <row r="78">
      <c r="A78" s="3"/>
      <c r="B78" s="3"/>
      <c r="C78" s="3"/>
      <c r="D78" s="3"/>
      <c r="E78" s="3"/>
    </row>
    <row r="79">
      <c r="A79" s="3"/>
      <c r="B79" s="220" t="s">
        <v>418</v>
      </c>
      <c r="C79" s="3"/>
      <c r="D79" s="3"/>
      <c r="E79" s="3"/>
    </row>
    <row r="80">
      <c r="A80" s="3"/>
      <c r="B80" s="220" t="s">
        <v>419</v>
      </c>
      <c r="C80" s="3"/>
      <c r="D80" s="3"/>
      <c r="E80" s="3"/>
    </row>
    <row r="81">
      <c r="A81" s="3"/>
      <c r="B81" s="220" t="s">
        <v>420</v>
      </c>
      <c r="C81" s="3"/>
      <c r="D81" s="3"/>
      <c r="E81" s="3"/>
    </row>
    <row r="82">
      <c r="A82" s="3"/>
      <c r="B82" s="220" t="s">
        <v>421</v>
      </c>
      <c r="C82" s="3"/>
      <c r="D82" s="3"/>
      <c r="E82" s="3"/>
    </row>
    <row r="83">
      <c r="A83" s="3"/>
      <c r="B83" s="220" t="s">
        <v>421</v>
      </c>
      <c r="C83" s="3"/>
      <c r="D83" s="3"/>
      <c r="E83" s="3"/>
    </row>
    <row r="84">
      <c r="A84" s="3"/>
      <c r="B84" s="220"/>
      <c r="C84" s="3"/>
      <c r="D84" s="3"/>
      <c r="E84" s="3"/>
    </row>
    <row r="85">
      <c r="A85" s="3"/>
      <c r="B85" s="220" t="s">
        <v>422</v>
      </c>
      <c r="C85" s="3"/>
      <c r="D85" s="3"/>
      <c r="E85" s="3"/>
    </row>
    <row r="86">
      <c r="A86" s="3"/>
      <c r="B86" s="220"/>
      <c r="C86" s="3"/>
      <c r="D86" s="3"/>
      <c r="E86" s="3"/>
    </row>
    <row r="87">
      <c r="A87" s="3"/>
      <c r="B87" s="220" t="s">
        <v>423</v>
      </c>
      <c r="C87" s="3"/>
      <c r="D87" s="3"/>
      <c r="E87" s="3"/>
    </row>
    <row r="88">
      <c r="A88" s="3"/>
      <c r="B88" s="220" t="s">
        <v>424</v>
      </c>
      <c r="C88" s="3"/>
      <c r="D88" s="3"/>
      <c r="E88" s="3"/>
    </row>
    <row r="89">
      <c r="A89" s="3"/>
      <c r="B89" s="220" t="s">
        <v>425</v>
      </c>
      <c r="C89" s="3"/>
      <c r="D89" s="3"/>
      <c r="E89" s="3"/>
    </row>
    <row r="90">
      <c r="A90" s="3"/>
      <c r="B90" s="220" t="s">
        <v>426</v>
      </c>
      <c r="C90" s="3"/>
      <c r="D90" s="3"/>
      <c r="E90" s="3"/>
    </row>
    <row r="91">
      <c r="A91" s="3"/>
      <c r="B91" s="220" t="s">
        <v>425</v>
      </c>
      <c r="C91" s="3"/>
      <c r="D91" s="3"/>
      <c r="E91" s="3"/>
    </row>
    <row r="92">
      <c r="A92" s="3"/>
      <c r="B92" s="3"/>
      <c r="C92" s="3"/>
      <c r="D92" s="3"/>
      <c r="E92" s="3"/>
    </row>
    <row r="93">
      <c r="A93" s="3"/>
      <c r="B93" s="220" t="s">
        <v>427</v>
      </c>
      <c r="C93" s="3"/>
      <c r="D93" s="3"/>
      <c r="E93" s="3"/>
    </row>
    <row r="94">
      <c r="A94" s="3"/>
      <c r="B94" s="220" t="s">
        <v>428</v>
      </c>
      <c r="C94" s="3"/>
      <c r="D94" s="3"/>
      <c r="E94" s="3"/>
    </row>
    <row r="95">
      <c r="A95" s="3"/>
      <c r="B95" s="220" t="s">
        <v>429</v>
      </c>
      <c r="C95" s="3"/>
      <c r="D95" s="3"/>
      <c r="E95" s="3"/>
    </row>
    <row r="96">
      <c r="A96" s="3"/>
      <c r="B96" s="3"/>
      <c r="C96" s="3"/>
      <c r="D96" s="3"/>
      <c r="E96" s="3"/>
    </row>
    <row r="97">
      <c r="A97" s="3"/>
      <c r="B97" s="220" t="s">
        <v>430</v>
      </c>
      <c r="C97" s="3"/>
      <c r="D97" s="3"/>
      <c r="E97" s="3"/>
    </row>
    <row r="98">
      <c r="A98" s="3"/>
      <c r="B98" s="220" t="s">
        <v>431</v>
      </c>
      <c r="C98" s="3"/>
      <c r="D98" s="3"/>
      <c r="E98" s="3"/>
    </row>
    <row r="99">
      <c r="A99" s="3"/>
      <c r="B99" s="3"/>
      <c r="C99" s="3"/>
      <c r="D99" s="3"/>
      <c r="E99" s="3"/>
    </row>
    <row r="100">
      <c r="A100" s="3"/>
      <c r="B100" s="3"/>
      <c r="C100" s="3"/>
      <c r="D100" s="3"/>
      <c r="E100" s="3"/>
    </row>
    <row r="101">
      <c r="A101" s="3"/>
      <c r="B101" s="3"/>
      <c r="C101" s="3"/>
      <c r="D101" s="3"/>
      <c r="E101" s="3"/>
    </row>
    <row r="102">
      <c r="A102" s="3"/>
      <c r="B102" s="3"/>
      <c r="C102" s="3"/>
      <c r="D102" s="3"/>
      <c r="E102" s="3"/>
    </row>
    <row r="103">
      <c r="A103" s="3"/>
      <c r="B103" s="3"/>
      <c r="C103" s="3"/>
      <c r="D103" s="3"/>
      <c r="E103" s="3"/>
    </row>
    <row r="104">
      <c r="A104" s="3"/>
      <c r="B104" s="3"/>
      <c r="C104" s="3"/>
      <c r="D104" s="3"/>
      <c r="E104" s="3"/>
    </row>
    <row r="105">
      <c r="A105" s="3"/>
      <c r="B105" s="3"/>
      <c r="C105" s="3"/>
      <c r="D105" s="3"/>
      <c r="E105" s="3"/>
    </row>
    <row r="106">
      <c r="A106" s="3"/>
      <c r="B106" s="3"/>
      <c r="C106" s="3"/>
      <c r="D106" s="3"/>
      <c r="E106" s="3"/>
    </row>
    <row r="107">
      <c r="A107" s="3"/>
      <c r="B107" s="3"/>
      <c r="C107" s="3"/>
      <c r="D107" s="3"/>
      <c r="E107" s="3"/>
    </row>
    <row r="108">
      <c r="A108" s="3"/>
      <c r="B108" s="3"/>
      <c r="C108" s="3"/>
      <c r="D108" s="3"/>
      <c r="E108" s="3"/>
    </row>
    <row r="109">
      <c r="A109" s="3"/>
      <c r="B109" s="3"/>
      <c r="C109" s="3"/>
      <c r="D109" s="3"/>
      <c r="E109" s="3"/>
    </row>
    <row r="110">
      <c r="A110" s="3"/>
      <c r="B110" s="3"/>
      <c r="C110" s="3"/>
      <c r="D110" s="3"/>
      <c r="E110" s="3"/>
    </row>
    <row r="111">
      <c r="A111" s="3"/>
      <c r="B111" s="3"/>
      <c r="C111" s="3"/>
      <c r="D111" s="3"/>
      <c r="E111" s="3"/>
    </row>
    <row r="112">
      <c r="A112" s="3"/>
      <c r="B112" s="3"/>
      <c r="C112" s="3"/>
      <c r="D112" s="3"/>
      <c r="E112" s="3"/>
    </row>
    <row r="113">
      <c r="A113" s="3"/>
      <c r="B113" s="3"/>
      <c r="C113" s="3"/>
      <c r="D113" s="3"/>
      <c r="E113" s="3"/>
    </row>
    <row r="114">
      <c r="A114" s="3"/>
      <c r="B114" s="3"/>
      <c r="C114" s="3"/>
      <c r="D114" s="3"/>
      <c r="E114" s="3"/>
    </row>
    <row r="115">
      <c r="A115" s="3"/>
      <c r="B115" s="3"/>
      <c r="C115" s="3"/>
      <c r="D115" s="3"/>
      <c r="E115" s="3"/>
    </row>
    <row r="116">
      <c r="A116" s="3"/>
      <c r="B116" s="3"/>
      <c r="C116" s="3"/>
      <c r="D116" s="3"/>
      <c r="E116" s="3"/>
    </row>
    <row r="117">
      <c r="A117" s="3"/>
      <c r="B117" s="3"/>
      <c r="C117" s="3"/>
      <c r="D117" s="3"/>
      <c r="E117" s="3"/>
    </row>
    <row r="118">
      <c r="A118" s="3"/>
      <c r="B118" s="3"/>
      <c r="C118" s="3"/>
      <c r="D118" s="3"/>
      <c r="E118" s="3"/>
    </row>
    <row r="119">
      <c r="A119" s="3"/>
      <c r="B119" s="3"/>
      <c r="C119" s="3"/>
      <c r="D119" s="3"/>
      <c r="E119" s="3"/>
    </row>
    <row r="120">
      <c r="A120" s="3"/>
      <c r="B120" s="3"/>
      <c r="C120" s="3"/>
      <c r="D120" s="3"/>
      <c r="E120" s="3"/>
    </row>
    <row r="121">
      <c r="A121" s="3"/>
      <c r="B121" s="3"/>
      <c r="C121" s="3"/>
      <c r="D121" s="3"/>
      <c r="E121" s="3"/>
    </row>
    <row r="122">
      <c r="A122" s="3"/>
      <c r="B122" s="3"/>
      <c r="C122" s="3"/>
      <c r="D122" s="3"/>
      <c r="E122" s="3"/>
    </row>
    <row r="123">
      <c r="A123" s="3"/>
      <c r="B123" s="3"/>
      <c r="C123" s="3"/>
      <c r="D123" s="3"/>
      <c r="E123" s="3"/>
    </row>
    <row r="124">
      <c r="A124" s="3"/>
      <c r="B124" s="3"/>
      <c r="C124" s="3"/>
      <c r="D124" s="3"/>
      <c r="E124" s="3"/>
    </row>
    <row r="125">
      <c r="A125" s="3"/>
      <c r="B125" s="3"/>
      <c r="C125" s="3"/>
      <c r="D125" s="3"/>
      <c r="E125" s="3"/>
    </row>
    <row r="126">
      <c r="A126" s="3"/>
      <c r="B126" s="3"/>
      <c r="C126" s="3"/>
      <c r="D126" s="3"/>
      <c r="E126" s="3"/>
    </row>
    <row r="127">
      <c r="A127" s="3"/>
      <c r="B127" s="3"/>
      <c r="C127" s="3"/>
      <c r="D127" s="3"/>
      <c r="E127" s="3"/>
    </row>
    <row r="128">
      <c r="A128" s="3"/>
      <c r="B128" s="3"/>
      <c r="C128" s="3"/>
      <c r="D128" s="3"/>
      <c r="E128" s="3"/>
    </row>
    <row r="129">
      <c r="A129" s="3"/>
      <c r="B129" s="3"/>
      <c r="C129" s="3"/>
      <c r="D129" s="3"/>
      <c r="E129" s="3"/>
    </row>
    <row r="130">
      <c r="A130" s="3"/>
      <c r="B130" s="3"/>
      <c r="C130" s="3"/>
      <c r="D130" s="3"/>
      <c r="E130" s="3"/>
    </row>
    <row r="131">
      <c r="A131" s="3"/>
      <c r="B131" s="3"/>
      <c r="C131" s="3"/>
      <c r="D131" s="3"/>
      <c r="E131" s="3"/>
    </row>
    <row r="132">
      <c r="A132" s="3"/>
      <c r="B132" s="3"/>
      <c r="C132" s="3"/>
      <c r="D132" s="3"/>
      <c r="E132" s="3"/>
    </row>
    <row r="133">
      <c r="A133" s="3"/>
      <c r="B133" s="3"/>
      <c r="C133" s="3"/>
      <c r="D133" s="3"/>
      <c r="E133" s="3"/>
    </row>
    <row r="134">
      <c r="A134" s="3"/>
      <c r="B134" s="3"/>
      <c r="C134" s="3"/>
      <c r="D134" s="3"/>
      <c r="E134" s="3"/>
    </row>
    <row r="135">
      <c r="A135" s="3"/>
      <c r="B135" s="3"/>
      <c r="C135" s="3"/>
      <c r="D135" s="3"/>
      <c r="E135" s="3"/>
    </row>
    <row r="136">
      <c r="A136" s="3"/>
      <c r="B136" s="3"/>
      <c r="C136" s="3"/>
      <c r="D136" s="3"/>
      <c r="E136" s="3"/>
    </row>
    <row r="137">
      <c r="A137" s="3"/>
      <c r="B137" s="3"/>
      <c r="C137" s="3"/>
      <c r="D137" s="3"/>
      <c r="E137" s="3"/>
    </row>
    <row r="138">
      <c r="A138" s="3"/>
      <c r="B138" s="3"/>
      <c r="C138" s="3"/>
      <c r="D138" s="3"/>
      <c r="E138" s="3"/>
    </row>
    <row r="139">
      <c r="A139" s="3"/>
      <c r="B139" s="3"/>
      <c r="C139" s="3"/>
      <c r="D139" s="3"/>
      <c r="E139" s="3"/>
    </row>
    <row r="140">
      <c r="A140" s="3"/>
      <c r="B140" s="3"/>
      <c r="C140" s="3"/>
      <c r="D140" s="3"/>
      <c r="E140" s="3"/>
    </row>
    <row r="141">
      <c r="A141" s="3"/>
      <c r="B141" s="3"/>
      <c r="C141" s="3"/>
      <c r="D141" s="3"/>
      <c r="E141" s="3"/>
    </row>
    <row r="142">
      <c r="A142" s="3"/>
      <c r="B142" s="3"/>
      <c r="C142" s="3"/>
      <c r="D142" s="3"/>
      <c r="E142" s="3"/>
    </row>
    <row r="143">
      <c r="A143" s="3"/>
      <c r="B143" s="3"/>
      <c r="C143" s="3"/>
      <c r="D143" s="3"/>
      <c r="E143" s="3"/>
    </row>
    <row r="144">
      <c r="A144" s="3"/>
      <c r="B144" s="3"/>
      <c r="C144" s="3"/>
      <c r="D144" s="3"/>
      <c r="E144" s="3"/>
    </row>
    <row r="145">
      <c r="A145" s="3"/>
      <c r="B145" s="3"/>
      <c r="C145" s="3"/>
      <c r="D145" s="3"/>
      <c r="E145" s="3"/>
    </row>
    <row r="146">
      <c r="A146" s="3"/>
      <c r="B146" s="3"/>
      <c r="C146" s="3"/>
      <c r="D146" s="3"/>
      <c r="E146" s="3"/>
    </row>
    <row r="147">
      <c r="A147" s="3"/>
      <c r="B147" s="3"/>
      <c r="C147" s="3"/>
      <c r="D147" s="3"/>
      <c r="E147" s="3"/>
    </row>
    <row r="148">
      <c r="A148" s="3"/>
      <c r="B148" s="3"/>
      <c r="C148" s="3"/>
      <c r="D148" s="3"/>
      <c r="E148" s="3"/>
    </row>
    <row r="149">
      <c r="A149" s="3"/>
      <c r="B149" s="3"/>
      <c r="C149" s="3"/>
      <c r="D149" s="3"/>
      <c r="E149" s="3"/>
    </row>
    <row r="150">
      <c r="A150" s="3"/>
      <c r="B150" s="3"/>
      <c r="C150" s="3"/>
      <c r="D150" s="3"/>
      <c r="E150" s="3"/>
    </row>
    <row r="151">
      <c r="A151" s="3"/>
      <c r="B151" s="3"/>
      <c r="C151" s="3"/>
      <c r="D151" s="3"/>
      <c r="E151" s="3"/>
    </row>
    <row r="152">
      <c r="A152" s="3"/>
      <c r="B152" s="3"/>
      <c r="C152" s="3"/>
      <c r="D152" s="3"/>
      <c r="E152" s="3"/>
    </row>
    <row r="153">
      <c r="A153" s="3"/>
      <c r="B153" s="3"/>
      <c r="C153" s="3"/>
      <c r="D153" s="3"/>
      <c r="E153" s="3"/>
    </row>
    <row r="154">
      <c r="A154" s="3"/>
      <c r="B154" s="3"/>
      <c r="C154" s="3"/>
      <c r="D154" s="3"/>
      <c r="E154" s="3"/>
    </row>
    <row r="155">
      <c r="A155" s="3"/>
      <c r="B155" s="3"/>
      <c r="C155" s="3"/>
      <c r="D155" s="3"/>
      <c r="E155" s="3"/>
    </row>
    <row r="156">
      <c r="A156" s="3"/>
      <c r="B156" s="3"/>
      <c r="C156" s="3"/>
      <c r="D156" s="3"/>
      <c r="E156" s="3"/>
    </row>
    <row r="157">
      <c r="A157" s="3"/>
      <c r="B157" s="3"/>
      <c r="C157" s="3"/>
      <c r="D157" s="3"/>
      <c r="E157" s="3"/>
    </row>
    <row r="158">
      <c r="A158" s="3"/>
      <c r="B158" s="3"/>
      <c r="C158" s="3"/>
      <c r="D158" s="3"/>
      <c r="E158" s="3"/>
    </row>
    <row r="159">
      <c r="A159" s="3"/>
      <c r="B159" s="3"/>
      <c r="C159" s="3"/>
      <c r="D159" s="3"/>
      <c r="E159" s="3"/>
    </row>
    <row r="160">
      <c r="A160" s="3"/>
      <c r="B160" s="3"/>
      <c r="C160" s="3"/>
      <c r="D160" s="3"/>
      <c r="E160" s="3"/>
    </row>
    <row r="161">
      <c r="A161" s="3"/>
      <c r="B161" s="3"/>
      <c r="C161" s="3"/>
      <c r="D161" s="3"/>
      <c r="E161" s="3"/>
    </row>
    <row r="162">
      <c r="A162" s="3"/>
      <c r="B162" s="3"/>
      <c r="C162" s="3"/>
      <c r="D162" s="3"/>
      <c r="E162" s="3"/>
    </row>
    <row r="163">
      <c r="A163" s="3"/>
      <c r="B163" s="3"/>
      <c r="C163" s="3"/>
      <c r="D163" s="3"/>
      <c r="E163" s="3"/>
    </row>
    <row r="164">
      <c r="A164" s="3"/>
      <c r="B164" s="3"/>
      <c r="C164" s="3"/>
      <c r="D164" s="3"/>
      <c r="E164" s="3"/>
    </row>
    <row r="165">
      <c r="A165" s="3"/>
      <c r="B165" s="3"/>
      <c r="C165" s="3"/>
      <c r="D165" s="3"/>
      <c r="E165" s="3"/>
    </row>
    <row r="166">
      <c r="A166" s="3"/>
      <c r="B166" s="3"/>
      <c r="C166" s="3"/>
      <c r="D166" s="3"/>
      <c r="E166" s="3"/>
    </row>
    <row r="167">
      <c r="A167" s="3"/>
      <c r="B167" s="3"/>
      <c r="C167" s="3"/>
      <c r="D167" s="3"/>
      <c r="E167" s="3"/>
    </row>
    <row r="168">
      <c r="A168" s="3"/>
      <c r="B168" s="3"/>
      <c r="C168" s="3"/>
      <c r="D168" s="3"/>
      <c r="E168" s="3"/>
    </row>
    <row r="169">
      <c r="A169" s="3"/>
      <c r="B169" s="3"/>
      <c r="C169" s="3"/>
      <c r="D169" s="3"/>
      <c r="E169" s="3"/>
    </row>
    <row r="170">
      <c r="A170" s="3"/>
      <c r="B170" s="3"/>
      <c r="C170" s="3"/>
      <c r="D170" s="3"/>
      <c r="E170" s="3"/>
    </row>
    <row r="171">
      <c r="A171" s="3"/>
      <c r="B171" s="3"/>
      <c r="C171" s="3"/>
      <c r="D171" s="3"/>
      <c r="E171" s="3"/>
    </row>
    <row r="172">
      <c r="A172" s="3"/>
      <c r="B172" s="3"/>
      <c r="C172" s="3"/>
      <c r="D172" s="3"/>
      <c r="E172" s="3"/>
    </row>
    <row r="173">
      <c r="A173" s="3"/>
      <c r="B173" s="3"/>
      <c r="C173" s="3"/>
      <c r="D173" s="3"/>
      <c r="E173" s="3"/>
    </row>
    <row r="174">
      <c r="A174" s="3"/>
      <c r="B174" s="3"/>
      <c r="C174" s="3"/>
      <c r="D174" s="3"/>
      <c r="E174" s="3"/>
    </row>
    <row r="175">
      <c r="A175" s="3"/>
      <c r="B175" s="3"/>
      <c r="C175" s="3"/>
      <c r="D175" s="3"/>
      <c r="E175" s="3"/>
    </row>
    <row r="176">
      <c r="A176" s="3"/>
      <c r="B176" s="3"/>
      <c r="C176" s="3"/>
      <c r="D176" s="3"/>
      <c r="E176" s="3"/>
    </row>
    <row r="177">
      <c r="A177" s="3"/>
      <c r="B177" s="3"/>
      <c r="C177" s="3"/>
      <c r="D177" s="3"/>
      <c r="E177" s="3"/>
    </row>
    <row r="178">
      <c r="A178" s="3"/>
      <c r="B178" s="3"/>
      <c r="C178" s="3"/>
      <c r="D178" s="3"/>
      <c r="E178" s="3"/>
    </row>
    <row r="179">
      <c r="A179" s="3"/>
      <c r="B179" s="3"/>
      <c r="C179" s="3"/>
      <c r="D179" s="3"/>
      <c r="E179" s="3"/>
    </row>
    <row r="180">
      <c r="A180" s="3"/>
      <c r="B180" s="3"/>
      <c r="C180" s="3"/>
      <c r="D180" s="3"/>
      <c r="E180" s="3"/>
    </row>
    <row r="181">
      <c r="A181" s="3"/>
      <c r="B181" s="3"/>
      <c r="C181" s="3"/>
      <c r="D181" s="3"/>
      <c r="E181" s="3"/>
    </row>
    <row r="182">
      <c r="A182" s="3"/>
      <c r="B182" s="3"/>
      <c r="C182" s="3"/>
      <c r="D182" s="3"/>
      <c r="E182" s="3"/>
    </row>
    <row r="183">
      <c r="A183" s="3"/>
      <c r="B183" s="3"/>
      <c r="C183" s="3"/>
      <c r="D183" s="3"/>
      <c r="E183" s="3"/>
    </row>
    <row r="184">
      <c r="A184" s="3"/>
      <c r="B184" s="3"/>
      <c r="C184" s="3"/>
      <c r="D184" s="3"/>
      <c r="E184" s="3"/>
    </row>
    <row r="185">
      <c r="A185" s="3"/>
      <c r="B185" s="3"/>
      <c r="C185" s="3"/>
      <c r="D185" s="3"/>
      <c r="E185" s="3"/>
    </row>
    <row r="186">
      <c r="A186" s="3"/>
      <c r="B186" s="3"/>
      <c r="C186" s="3"/>
      <c r="D186" s="3"/>
      <c r="E186" s="3"/>
    </row>
    <row r="187">
      <c r="A187" s="3"/>
      <c r="B187" s="3"/>
      <c r="C187" s="3"/>
      <c r="D187" s="3"/>
      <c r="E187" s="3"/>
    </row>
    <row r="188">
      <c r="A188" s="3"/>
      <c r="B188" s="3"/>
      <c r="C188" s="3"/>
      <c r="D188" s="3"/>
      <c r="E188" s="3"/>
    </row>
    <row r="189">
      <c r="A189" s="3"/>
      <c r="B189" s="3"/>
      <c r="C189" s="3"/>
      <c r="D189" s="3"/>
      <c r="E189" s="3"/>
    </row>
    <row r="190">
      <c r="A190" s="3"/>
      <c r="B190" s="3"/>
      <c r="C190" s="3"/>
      <c r="D190" s="3"/>
      <c r="E190" s="3"/>
    </row>
    <row r="191">
      <c r="A191" s="3"/>
      <c r="B191" s="3"/>
      <c r="C191" s="3"/>
      <c r="D191" s="3"/>
      <c r="E191" s="3"/>
    </row>
    <row r="192">
      <c r="A192" s="3"/>
      <c r="B192" s="3"/>
      <c r="C192" s="3"/>
      <c r="D192" s="3"/>
      <c r="E192" s="3"/>
    </row>
    <row r="193">
      <c r="A193" s="3"/>
      <c r="B193" s="3"/>
      <c r="C193" s="3"/>
      <c r="D193" s="3"/>
      <c r="E193" s="3"/>
    </row>
    <row r="194">
      <c r="A194" s="3"/>
      <c r="B194" s="3"/>
      <c r="C194" s="3"/>
      <c r="D194" s="3"/>
      <c r="E194" s="3"/>
    </row>
    <row r="195">
      <c r="A195" s="3"/>
      <c r="B195" s="3"/>
      <c r="C195" s="3"/>
      <c r="D195" s="3"/>
      <c r="E195" s="3"/>
    </row>
    <row r="196">
      <c r="A196" s="3"/>
      <c r="B196" s="3"/>
      <c r="C196" s="3"/>
      <c r="D196" s="3"/>
      <c r="E196" s="3"/>
    </row>
    <row r="197">
      <c r="A197" s="3"/>
      <c r="B197" s="3"/>
      <c r="C197" s="3"/>
      <c r="D197" s="3"/>
      <c r="E197" s="3"/>
    </row>
    <row r="198">
      <c r="A198" s="3"/>
      <c r="B198" s="3"/>
      <c r="C198" s="3"/>
      <c r="D198" s="3"/>
      <c r="E198" s="3"/>
    </row>
    <row r="199">
      <c r="A199" s="3"/>
      <c r="B199" s="3"/>
      <c r="C199" s="3"/>
      <c r="D199" s="3"/>
      <c r="E199" s="3"/>
    </row>
    <row r="200">
      <c r="A200" s="3"/>
      <c r="B200" s="3"/>
      <c r="C200" s="3"/>
      <c r="D200" s="3"/>
      <c r="E200" s="3"/>
    </row>
    <row r="201">
      <c r="A201" s="3"/>
      <c r="B201" s="3"/>
      <c r="C201" s="3"/>
      <c r="D201" s="3"/>
      <c r="E201" s="3"/>
    </row>
    <row r="202">
      <c r="A202" s="3"/>
      <c r="B202" s="3"/>
      <c r="C202" s="3"/>
      <c r="D202" s="3"/>
      <c r="E202" s="3"/>
    </row>
    <row r="203">
      <c r="A203" s="3"/>
      <c r="B203" s="3"/>
      <c r="C203" s="3"/>
      <c r="D203" s="3"/>
      <c r="E203" s="3"/>
    </row>
    <row r="204">
      <c r="A204" s="3"/>
      <c r="B204" s="3"/>
      <c r="C204" s="3"/>
      <c r="D204" s="3"/>
      <c r="E204" s="3"/>
    </row>
    <row r="205">
      <c r="A205" s="3"/>
      <c r="B205" s="3"/>
      <c r="C205" s="3"/>
      <c r="D205" s="3"/>
      <c r="E205" s="3"/>
    </row>
    <row r="206">
      <c r="A206" s="3"/>
      <c r="B206" s="3"/>
      <c r="C206" s="3"/>
      <c r="D206" s="3"/>
      <c r="E206" s="3"/>
    </row>
    <row r="207">
      <c r="A207" s="3"/>
      <c r="B207" s="3"/>
      <c r="C207" s="3"/>
      <c r="D207" s="3"/>
      <c r="E207" s="3"/>
    </row>
    <row r="208">
      <c r="A208" s="3"/>
      <c r="B208" s="3"/>
      <c r="C208" s="3"/>
      <c r="D208" s="3"/>
      <c r="E208" s="3"/>
    </row>
    <row r="209">
      <c r="A209" s="3"/>
      <c r="B209" s="3"/>
      <c r="C209" s="3"/>
      <c r="D209" s="3"/>
      <c r="E209" s="3"/>
    </row>
    <row r="210">
      <c r="A210" s="3"/>
      <c r="B210" s="3"/>
      <c r="C210" s="3"/>
      <c r="D210" s="3"/>
      <c r="E210" s="3"/>
    </row>
    <row r="211">
      <c r="A211" s="3"/>
      <c r="B211" s="3"/>
      <c r="C211" s="3"/>
      <c r="D211" s="3"/>
      <c r="E211" s="3"/>
    </row>
    <row r="212">
      <c r="A212" s="3"/>
      <c r="B212" s="3"/>
      <c r="C212" s="3"/>
      <c r="D212" s="3"/>
      <c r="E212" s="3"/>
    </row>
    <row r="213">
      <c r="A213" s="3"/>
      <c r="B213" s="3"/>
      <c r="C213" s="3"/>
      <c r="D213" s="3"/>
      <c r="E213" s="3"/>
    </row>
    <row r="214">
      <c r="A214" s="3"/>
      <c r="B214" s="3"/>
      <c r="C214" s="3"/>
      <c r="D214" s="3"/>
      <c r="E214" s="3"/>
    </row>
    <row r="215">
      <c r="A215" s="3"/>
      <c r="B215" s="3"/>
      <c r="C215" s="3"/>
      <c r="D215" s="3"/>
      <c r="E215" s="3"/>
    </row>
    <row r="216">
      <c r="A216" s="3"/>
      <c r="B216" s="3"/>
      <c r="C216" s="3"/>
      <c r="D216" s="3"/>
      <c r="E216" s="3"/>
    </row>
    <row r="217">
      <c r="A217" s="3"/>
      <c r="B217" s="3"/>
      <c r="C217" s="3"/>
      <c r="D217" s="3"/>
      <c r="E217" s="3"/>
    </row>
    <row r="218">
      <c r="A218" s="3"/>
      <c r="B218" s="3"/>
      <c r="C218" s="3"/>
      <c r="D218" s="3"/>
      <c r="E218" s="3"/>
    </row>
    <row r="219">
      <c r="A219" s="3"/>
      <c r="B219" s="3"/>
      <c r="C219" s="3"/>
      <c r="D219" s="3"/>
      <c r="E219" s="3"/>
    </row>
    <row r="220">
      <c r="A220" s="3"/>
      <c r="B220" s="3"/>
      <c r="C220" s="3"/>
      <c r="D220" s="3"/>
      <c r="E220" s="3"/>
    </row>
    <row r="221">
      <c r="A221" s="3"/>
      <c r="B221" s="3"/>
      <c r="C221" s="3"/>
      <c r="D221" s="3"/>
      <c r="E221" s="3"/>
    </row>
    <row r="222">
      <c r="A222" s="3"/>
      <c r="B222" s="3"/>
      <c r="C222" s="3"/>
      <c r="D222" s="3"/>
      <c r="E222" s="3"/>
    </row>
    <row r="223">
      <c r="A223" s="3"/>
      <c r="B223" s="3"/>
      <c r="C223" s="3"/>
      <c r="D223" s="3"/>
      <c r="E223" s="3"/>
    </row>
    <row r="224">
      <c r="A224" s="3"/>
      <c r="B224" s="3"/>
      <c r="C224" s="3"/>
      <c r="D224" s="3"/>
      <c r="E224" s="3"/>
    </row>
    <row r="225">
      <c r="A225" s="3"/>
      <c r="B225" s="3"/>
      <c r="C225" s="3"/>
      <c r="D225" s="3"/>
      <c r="E225" s="3"/>
    </row>
    <row r="226">
      <c r="A226" s="3"/>
      <c r="B226" s="3"/>
      <c r="C226" s="3"/>
      <c r="D226" s="3"/>
      <c r="E226" s="3"/>
    </row>
    <row r="227">
      <c r="A227" s="3"/>
      <c r="B227" s="3"/>
      <c r="C227" s="3"/>
      <c r="D227" s="3"/>
      <c r="E227" s="3"/>
    </row>
    <row r="228">
      <c r="A228" s="3"/>
      <c r="B228" s="3"/>
      <c r="C228" s="3"/>
      <c r="D228" s="3"/>
      <c r="E228" s="3"/>
    </row>
    <row r="229">
      <c r="A229" s="3"/>
      <c r="B229" s="3"/>
      <c r="C229" s="3"/>
      <c r="D229" s="3"/>
      <c r="E229" s="3"/>
    </row>
    <row r="230">
      <c r="A230" s="3"/>
      <c r="B230" s="3"/>
      <c r="C230" s="3"/>
      <c r="D230" s="3"/>
      <c r="E230" s="3"/>
    </row>
    <row r="231">
      <c r="A231" s="3"/>
      <c r="B231" s="3"/>
      <c r="C231" s="3"/>
      <c r="D231" s="3"/>
      <c r="E231" s="3"/>
    </row>
    <row r="232">
      <c r="A232" s="3"/>
      <c r="B232" s="3"/>
      <c r="C232" s="3"/>
      <c r="D232" s="3"/>
      <c r="E232" s="3"/>
    </row>
    <row r="233">
      <c r="A233" s="3"/>
      <c r="B233" s="3"/>
      <c r="C233" s="3"/>
      <c r="D233" s="3"/>
      <c r="E233" s="3"/>
    </row>
    <row r="234">
      <c r="A234" s="3"/>
      <c r="B234" s="3"/>
      <c r="C234" s="3"/>
      <c r="D234" s="3"/>
      <c r="E234" s="3"/>
    </row>
    <row r="235">
      <c r="A235" s="3"/>
      <c r="B235" s="3"/>
      <c r="C235" s="3"/>
      <c r="D235" s="3"/>
      <c r="E235" s="3"/>
    </row>
    <row r="236">
      <c r="A236" s="3"/>
      <c r="B236" s="3"/>
      <c r="C236" s="3"/>
      <c r="D236" s="3"/>
      <c r="E236" s="3"/>
    </row>
    <row r="237">
      <c r="A237" s="3"/>
      <c r="B237" s="3"/>
      <c r="C237" s="3"/>
      <c r="D237" s="3"/>
      <c r="E237" s="3"/>
    </row>
    <row r="238">
      <c r="A238" s="3"/>
      <c r="B238" s="3"/>
      <c r="C238" s="3"/>
      <c r="D238" s="3"/>
      <c r="E238" s="3"/>
    </row>
    <row r="239">
      <c r="A239" s="3"/>
      <c r="B239" s="3"/>
      <c r="C239" s="3"/>
      <c r="D239" s="3"/>
      <c r="E239" s="3"/>
    </row>
    <row r="240">
      <c r="A240" s="3"/>
      <c r="B240" s="3"/>
      <c r="C240" s="3"/>
      <c r="D240" s="3"/>
      <c r="E240" s="3"/>
    </row>
    <row r="241">
      <c r="A241" s="3"/>
      <c r="B241" s="3"/>
      <c r="C241" s="3"/>
      <c r="D241" s="3"/>
      <c r="E241" s="3"/>
    </row>
    <row r="242">
      <c r="A242" s="3"/>
      <c r="B242" s="3"/>
      <c r="C242" s="3"/>
      <c r="D242" s="3"/>
      <c r="E242" s="3"/>
    </row>
    <row r="243">
      <c r="A243" s="3"/>
      <c r="B243" s="3"/>
      <c r="C243" s="3"/>
      <c r="D243" s="3"/>
      <c r="E243" s="3"/>
    </row>
    <row r="244">
      <c r="A244" s="3"/>
      <c r="B244" s="3"/>
      <c r="C244" s="3"/>
      <c r="D244" s="3"/>
      <c r="E244" s="3"/>
    </row>
    <row r="245">
      <c r="A245" s="3"/>
      <c r="B245" s="3"/>
      <c r="C245" s="3"/>
      <c r="D245" s="3"/>
      <c r="E245" s="3"/>
    </row>
    <row r="246">
      <c r="A246" s="3"/>
      <c r="B246" s="3"/>
      <c r="C246" s="3"/>
      <c r="D246" s="3"/>
      <c r="E246" s="3"/>
    </row>
    <row r="247">
      <c r="A247" s="3"/>
      <c r="B247" s="3"/>
      <c r="C247" s="3"/>
      <c r="D247" s="3"/>
      <c r="E247" s="3"/>
    </row>
    <row r="248">
      <c r="A248" s="3"/>
      <c r="B248" s="3"/>
      <c r="C248" s="3"/>
      <c r="D248" s="3"/>
      <c r="E248" s="3"/>
    </row>
    <row r="249">
      <c r="A249" s="3"/>
      <c r="B249" s="3"/>
      <c r="C249" s="3"/>
      <c r="D249" s="3"/>
      <c r="E249" s="3"/>
    </row>
    <row r="250">
      <c r="A250" s="3"/>
      <c r="B250" s="3"/>
      <c r="C250" s="3"/>
      <c r="D250" s="3"/>
      <c r="E250" s="3"/>
    </row>
    <row r="251">
      <c r="A251" s="3"/>
      <c r="B251" s="3"/>
      <c r="C251" s="3"/>
      <c r="D251" s="3"/>
      <c r="E251" s="3"/>
    </row>
    <row r="252">
      <c r="A252" s="3"/>
      <c r="B252" s="3"/>
      <c r="C252" s="3"/>
      <c r="D252" s="3"/>
      <c r="E252" s="3"/>
    </row>
    <row r="253">
      <c r="A253" s="3"/>
      <c r="B253" s="3"/>
      <c r="C253" s="3"/>
      <c r="D253" s="3"/>
      <c r="E253" s="3"/>
    </row>
    <row r="254">
      <c r="A254" s="3"/>
      <c r="B254" s="3"/>
      <c r="C254" s="3"/>
      <c r="D254" s="3"/>
      <c r="E254" s="3"/>
    </row>
    <row r="255">
      <c r="A255" s="3"/>
      <c r="B255" s="3"/>
      <c r="C255" s="3"/>
      <c r="D255" s="3"/>
      <c r="E255" s="3"/>
    </row>
    <row r="256">
      <c r="A256" s="3"/>
      <c r="B256" s="3"/>
      <c r="C256" s="3"/>
      <c r="D256" s="3"/>
      <c r="E256" s="3"/>
    </row>
    <row r="257">
      <c r="A257" s="3"/>
      <c r="B257" s="3"/>
      <c r="C257" s="3"/>
      <c r="D257" s="3"/>
      <c r="E257" s="3"/>
    </row>
    <row r="258">
      <c r="A258" s="3"/>
      <c r="B258" s="3"/>
      <c r="C258" s="3"/>
      <c r="D258" s="3"/>
      <c r="E258" s="3"/>
    </row>
    <row r="259">
      <c r="A259" s="3"/>
      <c r="B259" s="3"/>
      <c r="C259" s="3"/>
      <c r="D259" s="3"/>
      <c r="E259" s="3"/>
    </row>
    <row r="260">
      <c r="A260" s="3"/>
      <c r="B260" s="3"/>
      <c r="C260" s="3"/>
      <c r="D260" s="3"/>
      <c r="E260" s="3"/>
    </row>
    <row r="261">
      <c r="A261" s="3"/>
      <c r="B261" s="3"/>
      <c r="C261" s="3"/>
      <c r="D261" s="3"/>
      <c r="E261" s="3"/>
    </row>
    <row r="262">
      <c r="A262" s="3"/>
      <c r="B262" s="3"/>
      <c r="C262" s="3"/>
      <c r="D262" s="3"/>
      <c r="E262" s="3"/>
    </row>
    <row r="263">
      <c r="A263" s="3"/>
      <c r="B263" s="3"/>
      <c r="C263" s="3"/>
      <c r="D263" s="3"/>
      <c r="E263" s="3"/>
    </row>
    <row r="264">
      <c r="A264" s="3"/>
      <c r="B264" s="3"/>
      <c r="C264" s="3"/>
      <c r="D264" s="3"/>
      <c r="E264" s="3"/>
    </row>
    <row r="265">
      <c r="A265" s="3"/>
      <c r="B265" s="3"/>
      <c r="C265" s="3"/>
      <c r="D265" s="3"/>
      <c r="E265" s="3"/>
    </row>
    <row r="266">
      <c r="A266" s="3"/>
      <c r="B266" s="3"/>
      <c r="C266" s="3"/>
      <c r="D266" s="3"/>
      <c r="E266" s="3"/>
    </row>
    <row r="267">
      <c r="A267" s="3"/>
      <c r="B267" s="3"/>
      <c r="C267" s="3"/>
      <c r="D267" s="3"/>
      <c r="E267" s="3"/>
    </row>
    <row r="268">
      <c r="A268" s="3"/>
      <c r="B268" s="3"/>
      <c r="C268" s="3"/>
      <c r="D268" s="3"/>
      <c r="E268" s="3"/>
    </row>
    <row r="269">
      <c r="A269" s="3"/>
      <c r="B269" s="3"/>
      <c r="C269" s="3"/>
      <c r="D269" s="3"/>
      <c r="E269" s="3"/>
    </row>
    <row r="270">
      <c r="A270" s="3"/>
      <c r="B270" s="3"/>
      <c r="C270" s="3"/>
      <c r="D270" s="3"/>
      <c r="E270" s="3"/>
    </row>
    <row r="271">
      <c r="A271" s="3"/>
      <c r="B271" s="3"/>
      <c r="C271" s="3"/>
      <c r="D271" s="3"/>
      <c r="E271" s="3"/>
    </row>
    <row r="272">
      <c r="A272" s="3"/>
      <c r="B272" s="3"/>
      <c r="C272" s="3"/>
      <c r="D272" s="3"/>
      <c r="E272" s="3"/>
    </row>
    <row r="273">
      <c r="A273" s="3"/>
      <c r="B273" s="3"/>
      <c r="C273" s="3"/>
      <c r="D273" s="3"/>
      <c r="E273" s="3"/>
    </row>
    <row r="274">
      <c r="A274" s="3"/>
      <c r="B274" s="3"/>
      <c r="C274" s="3"/>
      <c r="D274" s="3"/>
      <c r="E274" s="3"/>
    </row>
    <row r="275">
      <c r="A275" s="3"/>
      <c r="B275" s="3"/>
      <c r="C275" s="3"/>
      <c r="D275" s="3"/>
      <c r="E275" s="3"/>
    </row>
    <row r="276">
      <c r="A276" s="3"/>
      <c r="B276" s="3"/>
      <c r="C276" s="3"/>
      <c r="D276" s="3"/>
      <c r="E276" s="3"/>
    </row>
    <row r="277">
      <c r="A277" s="3"/>
      <c r="B277" s="3"/>
      <c r="C277" s="3"/>
      <c r="D277" s="3"/>
      <c r="E277" s="3"/>
    </row>
    <row r="278">
      <c r="A278" s="3"/>
      <c r="B278" s="3"/>
      <c r="C278" s="3"/>
      <c r="D278" s="3"/>
      <c r="E278" s="3"/>
    </row>
    <row r="279">
      <c r="A279" s="3"/>
      <c r="B279" s="3"/>
      <c r="C279" s="3"/>
      <c r="D279" s="3"/>
      <c r="E279" s="3"/>
    </row>
    <row r="280">
      <c r="A280" s="3"/>
      <c r="B280" s="3"/>
      <c r="C280" s="3"/>
      <c r="D280" s="3"/>
      <c r="E280" s="3"/>
    </row>
    <row r="281">
      <c r="A281" s="3"/>
      <c r="B281" s="3"/>
      <c r="C281" s="3"/>
      <c r="D281" s="3"/>
      <c r="E281" s="3"/>
    </row>
    <row r="282">
      <c r="A282" s="3"/>
      <c r="B282" s="3"/>
      <c r="C282" s="3"/>
      <c r="D282" s="3"/>
      <c r="E282" s="3"/>
    </row>
    <row r="283">
      <c r="A283" s="3"/>
      <c r="B283" s="3"/>
      <c r="C283" s="3"/>
      <c r="D283" s="3"/>
      <c r="E283" s="3"/>
    </row>
    <row r="284">
      <c r="A284" s="3"/>
      <c r="B284" s="3"/>
      <c r="C284" s="3"/>
      <c r="D284" s="3"/>
      <c r="E284" s="3"/>
    </row>
    <row r="285">
      <c r="A285" s="3"/>
      <c r="B285" s="3"/>
      <c r="C285" s="3"/>
      <c r="D285" s="3"/>
      <c r="E285" s="3"/>
    </row>
    <row r="286">
      <c r="A286" s="3"/>
      <c r="B286" s="3"/>
      <c r="C286" s="3"/>
      <c r="D286" s="3"/>
      <c r="E286" s="3"/>
    </row>
    <row r="287">
      <c r="A287" s="3"/>
      <c r="B287" s="3"/>
      <c r="C287" s="3"/>
      <c r="D287" s="3"/>
      <c r="E287" s="3"/>
    </row>
    <row r="288">
      <c r="A288" s="3"/>
      <c r="B288" s="3"/>
      <c r="C288" s="3"/>
      <c r="D288" s="3"/>
      <c r="E288" s="3"/>
    </row>
    <row r="289">
      <c r="A289" s="3"/>
      <c r="B289" s="3"/>
      <c r="C289" s="3"/>
      <c r="D289" s="3"/>
      <c r="E289" s="3"/>
    </row>
    <row r="290">
      <c r="A290" s="3"/>
      <c r="B290" s="3"/>
      <c r="C290" s="3"/>
      <c r="D290" s="3"/>
      <c r="E290" s="3"/>
    </row>
    <row r="291">
      <c r="A291" s="3"/>
      <c r="B291" s="3"/>
      <c r="C291" s="3"/>
      <c r="D291" s="3"/>
      <c r="E291" s="3"/>
    </row>
    <row r="292">
      <c r="A292" s="3"/>
      <c r="B292" s="3"/>
      <c r="C292" s="3"/>
      <c r="D292" s="3"/>
      <c r="E292" s="3"/>
    </row>
    <row r="293">
      <c r="A293" s="3"/>
      <c r="B293" s="3"/>
      <c r="C293" s="3"/>
      <c r="D293" s="3"/>
      <c r="E293" s="3"/>
    </row>
    <row r="294">
      <c r="A294" s="3"/>
      <c r="B294" s="3"/>
      <c r="C294" s="3"/>
      <c r="D294" s="3"/>
      <c r="E294" s="3"/>
    </row>
    <row r="295">
      <c r="A295" s="3"/>
      <c r="B295" s="3"/>
      <c r="C295" s="3"/>
      <c r="D295" s="3"/>
      <c r="E295" s="3"/>
    </row>
    <row r="296">
      <c r="A296" s="3"/>
      <c r="B296" s="3"/>
      <c r="C296" s="3"/>
      <c r="D296" s="3"/>
      <c r="E296" s="3"/>
    </row>
    <row r="297">
      <c r="A297" s="3"/>
      <c r="B297" s="3"/>
      <c r="C297" s="3"/>
      <c r="D297" s="3"/>
      <c r="E297" s="3"/>
    </row>
    <row r="298">
      <c r="A298" s="3"/>
      <c r="B298" s="3"/>
      <c r="C298" s="3"/>
      <c r="D298" s="3"/>
      <c r="E298" s="3"/>
    </row>
    <row r="299">
      <c r="A299" s="3"/>
      <c r="B299" s="3"/>
      <c r="C299" s="3"/>
      <c r="D299" s="3"/>
      <c r="E299" s="3"/>
    </row>
    <row r="300">
      <c r="A300" s="3"/>
      <c r="B300" s="3"/>
      <c r="C300" s="3"/>
      <c r="D300" s="3"/>
      <c r="E300" s="3"/>
    </row>
    <row r="301">
      <c r="A301" s="3"/>
      <c r="B301" s="3"/>
      <c r="C301" s="3"/>
      <c r="D301" s="3"/>
      <c r="E301" s="3"/>
    </row>
    <row r="302">
      <c r="A302" s="3"/>
      <c r="B302" s="3"/>
      <c r="C302" s="3"/>
      <c r="D302" s="3"/>
      <c r="E302" s="3"/>
    </row>
    <row r="303">
      <c r="A303" s="3"/>
      <c r="B303" s="3"/>
      <c r="C303" s="3"/>
      <c r="D303" s="3"/>
      <c r="E303" s="3"/>
    </row>
    <row r="304">
      <c r="A304" s="3"/>
      <c r="B304" s="3"/>
      <c r="C304" s="3"/>
      <c r="D304" s="3"/>
      <c r="E304" s="3"/>
    </row>
    <row r="305">
      <c r="A305" s="3"/>
      <c r="B305" s="3"/>
      <c r="C305" s="3"/>
      <c r="D305" s="3"/>
      <c r="E305" s="3"/>
    </row>
    <row r="306">
      <c r="A306" s="3"/>
      <c r="B306" s="3"/>
      <c r="C306" s="3"/>
      <c r="D306" s="3"/>
      <c r="E306" s="3"/>
    </row>
    <row r="307">
      <c r="A307" s="3"/>
      <c r="B307" s="3"/>
      <c r="C307" s="3"/>
      <c r="D307" s="3"/>
      <c r="E307" s="3"/>
    </row>
    <row r="308">
      <c r="A308" s="3"/>
      <c r="B308" s="3"/>
      <c r="C308" s="3"/>
      <c r="D308" s="3"/>
      <c r="E308" s="3"/>
    </row>
    <row r="309">
      <c r="A309" s="3"/>
      <c r="B309" s="3"/>
      <c r="C309" s="3"/>
      <c r="D309" s="3"/>
      <c r="E309" s="3"/>
    </row>
    <row r="310">
      <c r="A310" s="3"/>
      <c r="B310" s="3"/>
      <c r="C310" s="3"/>
      <c r="D310" s="3"/>
      <c r="E310" s="3"/>
    </row>
    <row r="311">
      <c r="A311" s="3"/>
      <c r="B311" s="3"/>
      <c r="C311" s="3"/>
      <c r="D311" s="3"/>
      <c r="E311" s="3"/>
    </row>
    <row r="312">
      <c r="A312" s="3"/>
      <c r="B312" s="3"/>
      <c r="C312" s="3"/>
      <c r="D312" s="3"/>
      <c r="E312" s="3"/>
    </row>
    <row r="313">
      <c r="A313" s="3"/>
      <c r="B313" s="3"/>
      <c r="C313" s="3"/>
      <c r="D313" s="3"/>
      <c r="E313" s="3"/>
    </row>
    <row r="314">
      <c r="A314" s="3"/>
      <c r="B314" s="3"/>
      <c r="C314" s="3"/>
      <c r="D314" s="3"/>
      <c r="E314" s="3"/>
    </row>
    <row r="315">
      <c r="A315" s="3"/>
      <c r="B315" s="3"/>
      <c r="C315" s="3"/>
      <c r="D315" s="3"/>
      <c r="E315" s="3"/>
    </row>
    <row r="316">
      <c r="A316" s="3"/>
      <c r="B316" s="3"/>
      <c r="C316" s="3"/>
      <c r="D316" s="3"/>
      <c r="E316" s="3"/>
    </row>
    <row r="317">
      <c r="A317" s="3"/>
      <c r="B317" s="3"/>
      <c r="C317" s="3"/>
      <c r="D317" s="3"/>
      <c r="E317" s="3"/>
    </row>
    <row r="318">
      <c r="A318" s="3"/>
      <c r="B318" s="3"/>
      <c r="C318" s="3"/>
      <c r="D318" s="3"/>
      <c r="E318" s="3"/>
    </row>
    <row r="319">
      <c r="A319" s="3"/>
      <c r="B319" s="3"/>
      <c r="C319" s="3"/>
      <c r="D319" s="3"/>
      <c r="E319" s="3"/>
    </row>
    <row r="320">
      <c r="A320" s="3"/>
      <c r="B320" s="3"/>
      <c r="C320" s="3"/>
      <c r="D320" s="3"/>
      <c r="E320" s="3"/>
    </row>
    <row r="321">
      <c r="A321" s="3"/>
      <c r="B321" s="3"/>
      <c r="C321" s="3"/>
      <c r="D321" s="3"/>
      <c r="E321" s="3"/>
    </row>
    <row r="322">
      <c r="A322" s="3"/>
      <c r="B322" s="3"/>
      <c r="C322" s="3"/>
      <c r="D322" s="3"/>
      <c r="E322" s="3"/>
    </row>
    <row r="323">
      <c r="A323" s="3"/>
      <c r="B323" s="3"/>
      <c r="C323" s="3"/>
      <c r="D323" s="3"/>
      <c r="E323" s="3"/>
    </row>
    <row r="324">
      <c r="A324" s="3"/>
      <c r="B324" s="3"/>
      <c r="C324" s="3"/>
      <c r="D324" s="3"/>
      <c r="E324" s="3"/>
    </row>
    <row r="325">
      <c r="A325" s="3"/>
      <c r="B325" s="3"/>
      <c r="C325" s="3"/>
      <c r="D325" s="3"/>
      <c r="E325" s="3"/>
    </row>
    <row r="326">
      <c r="A326" s="3"/>
      <c r="B326" s="3"/>
      <c r="C326" s="3"/>
      <c r="D326" s="3"/>
      <c r="E326" s="3"/>
    </row>
    <row r="327">
      <c r="A327" s="3"/>
      <c r="B327" s="3"/>
      <c r="C327" s="3"/>
      <c r="D327" s="3"/>
      <c r="E327" s="3"/>
    </row>
    <row r="328">
      <c r="A328" s="3"/>
      <c r="B328" s="3"/>
      <c r="C328" s="3"/>
      <c r="D328" s="3"/>
      <c r="E328" s="3"/>
    </row>
    <row r="329">
      <c r="A329" s="3"/>
      <c r="B329" s="3"/>
      <c r="C329" s="3"/>
      <c r="D329" s="3"/>
      <c r="E329" s="3"/>
    </row>
    <row r="330">
      <c r="A330" s="3"/>
      <c r="B330" s="3"/>
      <c r="C330" s="3"/>
      <c r="D330" s="3"/>
      <c r="E330" s="3"/>
    </row>
    <row r="331">
      <c r="A331" s="3"/>
      <c r="B331" s="3"/>
      <c r="C331" s="3"/>
      <c r="D331" s="3"/>
      <c r="E331" s="3"/>
    </row>
    <row r="332">
      <c r="A332" s="3"/>
      <c r="B332" s="3"/>
      <c r="C332" s="3"/>
      <c r="D332" s="3"/>
      <c r="E332" s="3"/>
    </row>
    <row r="333">
      <c r="A333" s="3"/>
      <c r="B333" s="3"/>
      <c r="C333" s="3"/>
      <c r="D333" s="3"/>
      <c r="E333" s="3"/>
    </row>
    <row r="334">
      <c r="A334" s="3"/>
      <c r="B334" s="3"/>
      <c r="C334" s="3"/>
      <c r="D334" s="3"/>
      <c r="E334" s="3"/>
    </row>
    <row r="335">
      <c r="A335" s="3"/>
      <c r="B335" s="3"/>
      <c r="C335" s="3"/>
      <c r="D335" s="3"/>
      <c r="E335" s="3"/>
    </row>
    <row r="336">
      <c r="A336" s="3"/>
      <c r="B336" s="3"/>
      <c r="C336" s="3"/>
      <c r="D336" s="3"/>
      <c r="E336" s="3"/>
    </row>
    <row r="337">
      <c r="A337" s="3"/>
      <c r="B337" s="3"/>
      <c r="C337" s="3"/>
      <c r="D337" s="3"/>
      <c r="E337" s="3"/>
    </row>
    <row r="338">
      <c r="A338" s="3"/>
      <c r="B338" s="3"/>
      <c r="C338" s="3"/>
      <c r="D338" s="3"/>
      <c r="E338" s="3"/>
    </row>
    <row r="339">
      <c r="A339" s="3"/>
      <c r="B339" s="3"/>
      <c r="C339" s="3"/>
      <c r="D339" s="3"/>
      <c r="E339" s="3"/>
    </row>
    <row r="340">
      <c r="A340" s="3"/>
      <c r="B340" s="3"/>
      <c r="C340" s="3"/>
      <c r="D340" s="3"/>
      <c r="E340" s="3"/>
    </row>
    <row r="341">
      <c r="A341" s="3"/>
      <c r="B341" s="3"/>
      <c r="C341" s="3"/>
      <c r="D341" s="3"/>
      <c r="E341" s="3"/>
    </row>
    <row r="342">
      <c r="A342" s="3"/>
      <c r="B342" s="3"/>
      <c r="C342" s="3"/>
      <c r="D342" s="3"/>
      <c r="E342" s="3"/>
    </row>
    <row r="343">
      <c r="A343" s="3"/>
      <c r="B343" s="3"/>
      <c r="C343" s="3"/>
      <c r="D343" s="3"/>
      <c r="E343" s="3"/>
    </row>
    <row r="344">
      <c r="A344" s="3"/>
      <c r="B344" s="3"/>
      <c r="C344" s="3"/>
      <c r="D344" s="3"/>
      <c r="E344" s="3"/>
    </row>
    <row r="345">
      <c r="A345" s="3"/>
      <c r="B345" s="3"/>
      <c r="C345" s="3"/>
      <c r="D345" s="3"/>
      <c r="E345" s="3"/>
    </row>
    <row r="346">
      <c r="A346" s="3"/>
      <c r="B346" s="3"/>
      <c r="C346" s="3"/>
      <c r="D346" s="3"/>
      <c r="E346" s="3"/>
    </row>
    <row r="347">
      <c r="A347" s="3"/>
      <c r="B347" s="3"/>
      <c r="C347" s="3"/>
      <c r="D347" s="3"/>
      <c r="E347" s="3"/>
    </row>
    <row r="348">
      <c r="A348" s="3"/>
      <c r="B348" s="3"/>
      <c r="C348" s="3"/>
      <c r="D348" s="3"/>
      <c r="E348" s="3"/>
    </row>
    <row r="349">
      <c r="A349" s="3"/>
      <c r="B349" s="3"/>
      <c r="C349" s="3"/>
      <c r="D349" s="3"/>
      <c r="E349" s="3"/>
    </row>
    <row r="350">
      <c r="A350" s="3"/>
      <c r="B350" s="3"/>
      <c r="C350" s="3"/>
      <c r="D350" s="3"/>
      <c r="E350" s="3"/>
    </row>
    <row r="351">
      <c r="A351" s="3"/>
      <c r="B351" s="3"/>
      <c r="C351" s="3"/>
      <c r="D351" s="3"/>
      <c r="E351" s="3"/>
    </row>
    <row r="352">
      <c r="A352" s="3"/>
      <c r="B352" s="3"/>
      <c r="C352" s="3"/>
      <c r="D352" s="3"/>
      <c r="E352" s="3"/>
    </row>
    <row r="353">
      <c r="A353" s="3"/>
      <c r="B353" s="3"/>
      <c r="C353" s="3"/>
      <c r="D353" s="3"/>
      <c r="E353" s="3"/>
    </row>
    <row r="354">
      <c r="A354" s="3"/>
      <c r="B354" s="3"/>
      <c r="C354" s="3"/>
      <c r="D354" s="3"/>
      <c r="E354" s="3"/>
    </row>
    <row r="355">
      <c r="A355" s="3"/>
      <c r="B355" s="3"/>
      <c r="C355" s="3"/>
      <c r="D355" s="3"/>
      <c r="E355" s="3"/>
    </row>
    <row r="356">
      <c r="A356" s="3"/>
      <c r="B356" s="3"/>
      <c r="C356" s="3"/>
      <c r="D356" s="3"/>
      <c r="E356" s="3"/>
    </row>
    <row r="357">
      <c r="A357" s="3"/>
      <c r="B357" s="3"/>
      <c r="C357" s="3"/>
      <c r="D357" s="3"/>
      <c r="E357" s="3"/>
    </row>
    <row r="358">
      <c r="A358" s="3"/>
      <c r="B358" s="3"/>
      <c r="C358" s="3"/>
      <c r="D358" s="3"/>
      <c r="E358" s="3"/>
    </row>
    <row r="359">
      <c r="A359" s="3"/>
      <c r="B359" s="3"/>
      <c r="C359" s="3"/>
      <c r="D359" s="3"/>
      <c r="E359" s="3"/>
    </row>
    <row r="360">
      <c r="A360" s="3"/>
      <c r="B360" s="3"/>
      <c r="C360" s="3"/>
      <c r="D360" s="3"/>
      <c r="E360" s="3"/>
    </row>
    <row r="361">
      <c r="A361" s="3"/>
      <c r="B361" s="3"/>
      <c r="C361" s="3"/>
      <c r="D361" s="3"/>
      <c r="E361" s="3"/>
    </row>
    <row r="362">
      <c r="A362" s="3"/>
      <c r="B362" s="3"/>
      <c r="C362" s="3"/>
      <c r="D362" s="3"/>
      <c r="E362" s="3"/>
    </row>
    <row r="363">
      <c r="A363" s="3"/>
      <c r="B363" s="3"/>
      <c r="C363" s="3"/>
      <c r="D363" s="3"/>
      <c r="E363" s="3"/>
    </row>
    <row r="364">
      <c r="A364" s="3"/>
      <c r="B364" s="3"/>
      <c r="C364" s="3"/>
      <c r="D364" s="3"/>
      <c r="E364" s="3"/>
    </row>
    <row r="365">
      <c r="A365" s="3"/>
      <c r="B365" s="3"/>
      <c r="C365" s="3"/>
      <c r="D365" s="3"/>
      <c r="E365" s="3"/>
    </row>
    <row r="366">
      <c r="A366" s="3"/>
      <c r="B366" s="3"/>
      <c r="C366" s="3"/>
      <c r="D366" s="3"/>
      <c r="E366" s="3"/>
    </row>
    <row r="367">
      <c r="A367" s="3"/>
      <c r="B367" s="3"/>
      <c r="C367" s="3"/>
      <c r="D367" s="3"/>
      <c r="E367" s="3"/>
    </row>
    <row r="368">
      <c r="A368" s="3"/>
      <c r="B368" s="3"/>
      <c r="C368" s="3"/>
      <c r="D368" s="3"/>
      <c r="E368" s="3"/>
    </row>
    <row r="369">
      <c r="A369" s="3"/>
      <c r="B369" s="3"/>
      <c r="C369" s="3"/>
      <c r="D369" s="3"/>
      <c r="E369" s="3"/>
    </row>
    <row r="370">
      <c r="A370" s="3"/>
      <c r="B370" s="3"/>
      <c r="C370" s="3"/>
      <c r="D370" s="3"/>
      <c r="E370" s="3"/>
    </row>
    <row r="371">
      <c r="A371" s="3"/>
      <c r="B371" s="3"/>
      <c r="C371" s="3"/>
      <c r="D371" s="3"/>
      <c r="E371" s="3"/>
    </row>
    <row r="372">
      <c r="A372" s="3"/>
      <c r="B372" s="3"/>
      <c r="C372" s="3"/>
      <c r="D372" s="3"/>
      <c r="E372" s="3"/>
    </row>
    <row r="373">
      <c r="A373" s="3"/>
      <c r="B373" s="3"/>
      <c r="C373" s="3"/>
      <c r="D373" s="3"/>
      <c r="E373" s="3"/>
    </row>
    <row r="374">
      <c r="A374" s="3"/>
      <c r="B374" s="3"/>
      <c r="C374" s="3"/>
      <c r="D374" s="3"/>
      <c r="E374" s="3"/>
    </row>
    <row r="375">
      <c r="A375" s="3"/>
      <c r="B375" s="3"/>
      <c r="C375" s="3"/>
      <c r="D375" s="3"/>
      <c r="E375" s="3"/>
    </row>
    <row r="376">
      <c r="A376" s="3"/>
      <c r="B376" s="3"/>
      <c r="C376" s="3"/>
      <c r="D376" s="3"/>
      <c r="E376" s="3"/>
    </row>
    <row r="377">
      <c r="A377" s="3"/>
      <c r="B377" s="3"/>
      <c r="C377" s="3"/>
      <c r="D377" s="3"/>
      <c r="E377" s="3"/>
    </row>
    <row r="378">
      <c r="A378" s="3"/>
      <c r="B378" s="3"/>
      <c r="C378" s="3"/>
      <c r="D378" s="3"/>
      <c r="E378" s="3"/>
    </row>
    <row r="379">
      <c r="A379" s="3"/>
      <c r="B379" s="3"/>
      <c r="C379" s="3"/>
      <c r="D379" s="3"/>
      <c r="E379" s="3"/>
    </row>
    <row r="380">
      <c r="A380" s="3"/>
      <c r="B380" s="3"/>
      <c r="C380" s="3"/>
      <c r="D380" s="3"/>
      <c r="E380" s="3"/>
    </row>
    <row r="381">
      <c r="A381" s="3"/>
      <c r="B381" s="3"/>
      <c r="C381" s="3"/>
      <c r="D381" s="3"/>
      <c r="E381" s="3"/>
    </row>
    <row r="382">
      <c r="A382" s="3"/>
      <c r="B382" s="3"/>
      <c r="C382" s="3"/>
      <c r="D382" s="3"/>
      <c r="E382" s="3"/>
    </row>
    <row r="383">
      <c r="A383" s="3"/>
      <c r="B383" s="3"/>
      <c r="C383" s="3"/>
      <c r="D383" s="3"/>
      <c r="E383" s="3"/>
    </row>
    <row r="384">
      <c r="A384" s="3"/>
      <c r="B384" s="3"/>
      <c r="C384" s="3"/>
      <c r="D384" s="3"/>
      <c r="E384" s="3"/>
    </row>
    <row r="385">
      <c r="A385" s="3"/>
      <c r="B385" s="3"/>
      <c r="C385" s="3"/>
      <c r="D385" s="3"/>
      <c r="E385" s="3"/>
    </row>
    <row r="386">
      <c r="A386" s="3"/>
      <c r="B386" s="3"/>
      <c r="C386" s="3"/>
      <c r="D386" s="3"/>
      <c r="E386" s="3"/>
    </row>
    <row r="387">
      <c r="A387" s="3"/>
      <c r="B387" s="3"/>
      <c r="C387" s="3"/>
      <c r="D387" s="3"/>
      <c r="E387" s="3"/>
    </row>
    <row r="388">
      <c r="A388" s="3"/>
      <c r="B388" s="3"/>
      <c r="C388" s="3"/>
      <c r="D388" s="3"/>
      <c r="E388" s="3"/>
    </row>
    <row r="389">
      <c r="A389" s="3"/>
      <c r="B389" s="3"/>
      <c r="C389" s="3"/>
      <c r="D389" s="3"/>
      <c r="E389" s="3"/>
    </row>
    <row r="390">
      <c r="A390" s="3"/>
      <c r="B390" s="3"/>
      <c r="C390" s="3"/>
      <c r="D390" s="3"/>
      <c r="E390" s="3"/>
    </row>
    <row r="391">
      <c r="A391" s="3"/>
      <c r="B391" s="3"/>
      <c r="C391" s="3"/>
      <c r="D391" s="3"/>
      <c r="E391" s="3"/>
    </row>
    <row r="392">
      <c r="A392" s="3"/>
      <c r="B392" s="3"/>
      <c r="C392" s="3"/>
      <c r="D392" s="3"/>
      <c r="E392" s="3"/>
    </row>
    <row r="393">
      <c r="A393" s="3"/>
      <c r="B393" s="3"/>
      <c r="C393" s="3"/>
      <c r="D393" s="3"/>
      <c r="E393" s="3"/>
    </row>
    <row r="394">
      <c r="A394" s="3"/>
      <c r="B394" s="3"/>
      <c r="C394" s="3"/>
      <c r="D394" s="3"/>
      <c r="E394" s="3"/>
    </row>
    <row r="395">
      <c r="A395" s="3"/>
      <c r="B395" s="3"/>
      <c r="C395" s="3"/>
      <c r="D395" s="3"/>
      <c r="E395" s="3"/>
    </row>
    <row r="396">
      <c r="A396" s="3"/>
      <c r="B396" s="3"/>
      <c r="C396" s="3"/>
      <c r="D396" s="3"/>
      <c r="E396" s="3"/>
    </row>
    <row r="397">
      <c r="A397" s="3"/>
      <c r="B397" s="3"/>
      <c r="C397" s="3"/>
      <c r="D397" s="3"/>
      <c r="E397" s="3"/>
    </row>
    <row r="398">
      <c r="A398" s="3"/>
      <c r="B398" s="3"/>
      <c r="C398" s="3"/>
      <c r="D398" s="3"/>
      <c r="E398" s="3"/>
    </row>
    <row r="399">
      <c r="A399" s="3"/>
      <c r="B399" s="3"/>
      <c r="C399" s="3"/>
      <c r="D399" s="3"/>
      <c r="E399" s="3"/>
    </row>
    <row r="400">
      <c r="A400" s="3"/>
      <c r="B400" s="3"/>
      <c r="C400" s="3"/>
      <c r="D400" s="3"/>
      <c r="E400" s="3"/>
    </row>
    <row r="401">
      <c r="A401" s="3"/>
      <c r="B401" s="3"/>
      <c r="C401" s="3"/>
      <c r="D401" s="3"/>
      <c r="E401" s="3"/>
    </row>
    <row r="402">
      <c r="A402" s="3"/>
      <c r="B402" s="3"/>
      <c r="C402" s="3"/>
      <c r="D402" s="3"/>
      <c r="E402" s="3"/>
    </row>
    <row r="403">
      <c r="A403" s="3"/>
      <c r="B403" s="3"/>
      <c r="C403" s="3"/>
      <c r="D403" s="3"/>
      <c r="E403" s="3"/>
    </row>
    <row r="404">
      <c r="A404" s="3"/>
      <c r="B404" s="3"/>
      <c r="C404" s="3"/>
      <c r="D404" s="3"/>
      <c r="E404" s="3"/>
    </row>
    <row r="405">
      <c r="A405" s="3"/>
      <c r="B405" s="3"/>
      <c r="C405" s="3"/>
      <c r="D405" s="3"/>
      <c r="E405" s="3"/>
    </row>
    <row r="406">
      <c r="A406" s="3"/>
      <c r="B406" s="3"/>
      <c r="C406" s="3"/>
      <c r="D406" s="3"/>
      <c r="E406" s="3"/>
    </row>
    <row r="407">
      <c r="A407" s="3"/>
      <c r="B407" s="3"/>
      <c r="C407" s="3"/>
      <c r="D407" s="3"/>
      <c r="E407" s="3"/>
    </row>
    <row r="408">
      <c r="A408" s="3"/>
      <c r="B408" s="3"/>
      <c r="C408" s="3"/>
      <c r="D408" s="3"/>
      <c r="E408" s="3"/>
    </row>
    <row r="409">
      <c r="A409" s="3"/>
      <c r="B409" s="3"/>
      <c r="C409" s="3"/>
      <c r="D409" s="3"/>
      <c r="E409" s="3"/>
    </row>
    <row r="410">
      <c r="A410" s="3"/>
      <c r="B410" s="3"/>
      <c r="C410" s="3"/>
      <c r="D410" s="3"/>
      <c r="E410" s="3"/>
    </row>
    <row r="411">
      <c r="A411" s="3"/>
      <c r="B411" s="3"/>
      <c r="C411" s="3"/>
      <c r="D411" s="3"/>
      <c r="E411" s="3"/>
    </row>
    <row r="412">
      <c r="A412" s="3"/>
      <c r="B412" s="3"/>
      <c r="C412" s="3"/>
      <c r="D412" s="3"/>
      <c r="E412" s="3"/>
    </row>
    <row r="413">
      <c r="A413" s="3"/>
      <c r="B413" s="3"/>
      <c r="C413" s="3"/>
      <c r="D413" s="3"/>
      <c r="E413" s="3"/>
    </row>
    <row r="414">
      <c r="A414" s="3"/>
      <c r="B414" s="3"/>
      <c r="C414" s="3"/>
      <c r="D414" s="3"/>
      <c r="E414" s="3"/>
    </row>
    <row r="415">
      <c r="A415" s="3"/>
      <c r="B415" s="3"/>
      <c r="C415" s="3"/>
      <c r="D415" s="3"/>
      <c r="E415" s="3"/>
    </row>
    <row r="416">
      <c r="A416" s="3"/>
      <c r="B416" s="3"/>
      <c r="C416" s="3"/>
      <c r="D416" s="3"/>
      <c r="E416" s="3"/>
    </row>
    <row r="417">
      <c r="A417" s="3"/>
      <c r="B417" s="3"/>
      <c r="C417" s="3"/>
      <c r="D417" s="3"/>
      <c r="E417" s="3"/>
    </row>
    <row r="418">
      <c r="A418" s="3"/>
      <c r="B418" s="3"/>
      <c r="C418" s="3"/>
      <c r="D418" s="3"/>
      <c r="E418" s="3"/>
    </row>
    <row r="419">
      <c r="A419" s="3"/>
      <c r="B419" s="3"/>
      <c r="C419" s="3"/>
      <c r="D419" s="3"/>
      <c r="E419" s="3"/>
    </row>
    <row r="420">
      <c r="A420" s="3"/>
      <c r="B420" s="3"/>
      <c r="C420" s="3"/>
      <c r="D420" s="3"/>
      <c r="E420" s="3"/>
    </row>
    <row r="421">
      <c r="A421" s="3"/>
      <c r="B421" s="3"/>
      <c r="C421" s="3"/>
      <c r="D421" s="3"/>
      <c r="E421" s="3"/>
    </row>
    <row r="422">
      <c r="A422" s="3"/>
      <c r="B422" s="3"/>
      <c r="C422" s="3"/>
      <c r="D422" s="3"/>
      <c r="E422" s="3"/>
    </row>
    <row r="423">
      <c r="A423" s="3"/>
      <c r="B423" s="3"/>
      <c r="C423" s="3"/>
      <c r="D423" s="3"/>
      <c r="E423" s="3"/>
    </row>
    <row r="424">
      <c r="A424" s="3"/>
      <c r="B424" s="3"/>
      <c r="C424" s="3"/>
      <c r="D424" s="3"/>
      <c r="E424" s="3"/>
    </row>
    <row r="425">
      <c r="A425" s="3"/>
      <c r="B425" s="3"/>
      <c r="C425" s="3"/>
      <c r="D425" s="3"/>
      <c r="E425" s="3"/>
    </row>
    <row r="426">
      <c r="A426" s="3"/>
      <c r="B426" s="3"/>
      <c r="C426" s="3"/>
      <c r="D426" s="3"/>
      <c r="E426" s="3"/>
    </row>
    <row r="427">
      <c r="A427" s="3"/>
      <c r="B427" s="3"/>
      <c r="C427" s="3"/>
      <c r="D427" s="3"/>
      <c r="E427" s="3"/>
    </row>
    <row r="428">
      <c r="A428" s="3"/>
      <c r="B428" s="3"/>
      <c r="C428" s="3"/>
      <c r="D428" s="3"/>
      <c r="E428" s="3"/>
    </row>
    <row r="429">
      <c r="A429" s="3"/>
      <c r="B429" s="3"/>
      <c r="C429" s="3"/>
      <c r="D429" s="3"/>
      <c r="E429" s="3"/>
    </row>
    <row r="430">
      <c r="A430" s="3"/>
      <c r="B430" s="3"/>
      <c r="C430" s="3"/>
      <c r="D430" s="3"/>
      <c r="E430" s="3"/>
    </row>
    <row r="431">
      <c r="A431" s="3"/>
      <c r="B431" s="3"/>
      <c r="C431" s="3"/>
      <c r="D431" s="3"/>
      <c r="E431" s="3"/>
    </row>
    <row r="432">
      <c r="A432" s="3"/>
      <c r="B432" s="3"/>
      <c r="C432" s="3"/>
      <c r="D432" s="3"/>
      <c r="E432" s="3"/>
    </row>
    <row r="433">
      <c r="A433" s="3"/>
      <c r="B433" s="3"/>
      <c r="C433" s="3"/>
      <c r="D433" s="3"/>
      <c r="E433" s="3"/>
    </row>
    <row r="434">
      <c r="A434" s="3"/>
      <c r="B434" s="3"/>
      <c r="C434" s="3"/>
      <c r="D434" s="3"/>
      <c r="E434" s="3"/>
    </row>
    <row r="435">
      <c r="A435" s="3"/>
      <c r="B435" s="3"/>
      <c r="C435" s="3"/>
      <c r="D435" s="3"/>
      <c r="E435" s="3"/>
    </row>
    <row r="436">
      <c r="A436" s="3"/>
      <c r="B436" s="3"/>
      <c r="C436" s="3"/>
      <c r="D436" s="3"/>
      <c r="E436" s="3"/>
    </row>
    <row r="437">
      <c r="A437" s="3"/>
      <c r="B437" s="3"/>
      <c r="C437" s="3"/>
      <c r="D437" s="3"/>
      <c r="E437" s="3"/>
    </row>
    <row r="438">
      <c r="A438" s="3"/>
      <c r="B438" s="3"/>
      <c r="C438" s="3"/>
      <c r="D438" s="3"/>
      <c r="E438" s="3"/>
    </row>
    <row r="439">
      <c r="A439" s="3"/>
      <c r="B439" s="3"/>
      <c r="C439" s="3"/>
      <c r="D439" s="3"/>
      <c r="E439" s="3"/>
    </row>
    <row r="440">
      <c r="A440" s="3"/>
      <c r="B440" s="3"/>
      <c r="C440" s="3"/>
      <c r="D440" s="3"/>
      <c r="E440" s="3"/>
    </row>
    <row r="441">
      <c r="A441" s="3"/>
      <c r="B441" s="3"/>
      <c r="C441" s="3"/>
      <c r="D441" s="3"/>
      <c r="E441" s="3"/>
    </row>
    <row r="442">
      <c r="A442" s="3"/>
      <c r="B442" s="3"/>
      <c r="C442" s="3"/>
      <c r="D442" s="3"/>
      <c r="E442" s="3"/>
    </row>
    <row r="443">
      <c r="A443" s="3"/>
      <c r="B443" s="3"/>
      <c r="C443" s="3"/>
      <c r="D443" s="3"/>
      <c r="E443" s="3"/>
    </row>
    <row r="444">
      <c r="A444" s="3"/>
      <c r="B444" s="3"/>
      <c r="C444" s="3"/>
      <c r="D444" s="3"/>
      <c r="E444" s="3"/>
    </row>
    <row r="445">
      <c r="A445" s="3"/>
      <c r="B445" s="3"/>
      <c r="C445" s="3"/>
      <c r="D445" s="3"/>
      <c r="E445" s="3"/>
    </row>
    <row r="446">
      <c r="A446" s="3"/>
      <c r="B446" s="3"/>
      <c r="C446" s="3"/>
      <c r="D446" s="3"/>
      <c r="E446" s="3"/>
    </row>
    <row r="447">
      <c r="A447" s="3"/>
      <c r="B447" s="3"/>
      <c r="C447" s="3"/>
      <c r="D447" s="3"/>
      <c r="E447" s="3"/>
    </row>
    <row r="448">
      <c r="A448" s="3"/>
      <c r="B448" s="3"/>
      <c r="C448" s="3"/>
      <c r="D448" s="3"/>
      <c r="E448" s="3"/>
    </row>
    <row r="449">
      <c r="A449" s="3"/>
      <c r="B449" s="3"/>
      <c r="C449" s="3"/>
      <c r="D449" s="3"/>
      <c r="E449" s="3"/>
    </row>
    <row r="450">
      <c r="A450" s="3"/>
      <c r="B450" s="3"/>
      <c r="C450" s="3"/>
      <c r="D450" s="3"/>
      <c r="E450" s="3"/>
    </row>
    <row r="451">
      <c r="A451" s="3"/>
      <c r="B451" s="3"/>
      <c r="C451" s="3"/>
      <c r="D451" s="3"/>
      <c r="E451" s="3"/>
    </row>
    <row r="452">
      <c r="A452" s="3"/>
      <c r="B452" s="3"/>
      <c r="C452" s="3"/>
      <c r="D452" s="3"/>
      <c r="E452" s="3"/>
    </row>
    <row r="453">
      <c r="A453" s="3"/>
      <c r="B453" s="3"/>
      <c r="C453" s="3"/>
      <c r="D453" s="3"/>
      <c r="E453" s="3"/>
    </row>
    <row r="454">
      <c r="A454" s="3"/>
      <c r="B454" s="3"/>
      <c r="C454" s="3"/>
      <c r="D454" s="3"/>
      <c r="E454" s="3"/>
    </row>
    <row r="455">
      <c r="A455" s="3"/>
      <c r="B455" s="3"/>
      <c r="C455" s="3"/>
      <c r="D455" s="3"/>
      <c r="E455" s="3"/>
    </row>
    <row r="456">
      <c r="A456" s="3"/>
      <c r="B456" s="3"/>
      <c r="C456" s="3"/>
      <c r="D456" s="3"/>
      <c r="E456" s="3"/>
    </row>
    <row r="457">
      <c r="A457" s="3"/>
      <c r="B457" s="3"/>
      <c r="C457" s="3"/>
      <c r="D457" s="3"/>
      <c r="E457" s="3"/>
    </row>
    <row r="458">
      <c r="A458" s="3"/>
      <c r="B458" s="3"/>
      <c r="C458" s="3"/>
      <c r="D458" s="3"/>
      <c r="E458" s="3"/>
    </row>
    <row r="459">
      <c r="A459" s="3"/>
      <c r="B459" s="3"/>
      <c r="C459" s="3"/>
      <c r="D459" s="3"/>
      <c r="E459" s="3"/>
    </row>
    <row r="460">
      <c r="A460" s="3"/>
      <c r="B460" s="3"/>
      <c r="C460" s="3"/>
      <c r="D460" s="3"/>
      <c r="E460" s="3"/>
    </row>
    <row r="461">
      <c r="A461" s="3"/>
      <c r="B461" s="3"/>
      <c r="C461" s="3"/>
      <c r="D461" s="3"/>
      <c r="E461" s="3"/>
    </row>
    <row r="462">
      <c r="A462" s="3"/>
      <c r="B462" s="3"/>
      <c r="C462" s="3"/>
      <c r="D462" s="3"/>
      <c r="E462" s="3"/>
    </row>
    <row r="463">
      <c r="A463" s="3"/>
      <c r="B463" s="3"/>
      <c r="C463" s="3"/>
      <c r="D463" s="3"/>
      <c r="E463" s="3"/>
    </row>
    <row r="464">
      <c r="A464" s="3"/>
      <c r="B464" s="3"/>
      <c r="C464" s="3"/>
      <c r="D464" s="3"/>
      <c r="E464" s="3"/>
    </row>
    <row r="465">
      <c r="A465" s="3"/>
      <c r="B465" s="3"/>
      <c r="C465" s="3"/>
      <c r="D465" s="3"/>
      <c r="E465" s="3"/>
    </row>
    <row r="466">
      <c r="A466" s="3"/>
      <c r="B466" s="3"/>
      <c r="C466" s="3"/>
      <c r="D466" s="3"/>
      <c r="E466" s="3"/>
    </row>
    <row r="467">
      <c r="A467" s="3"/>
      <c r="B467" s="3"/>
      <c r="C467" s="3"/>
      <c r="D467" s="3"/>
      <c r="E467" s="3"/>
    </row>
    <row r="468">
      <c r="A468" s="3"/>
      <c r="B468" s="3"/>
      <c r="C468" s="3"/>
      <c r="D468" s="3"/>
      <c r="E468" s="3"/>
    </row>
    <row r="469">
      <c r="A469" s="3"/>
      <c r="B469" s="3"/>
      <c r="C469" s="3"/>
      <c r="D469" s="3"/>
      <c r="E469" s="3"/>
    </row>
    <row r="470">
      <c r="A470" s="3"/>
      <c r="B470" s="3"/>
      <c r="C470" s="3"/>
      <c r="D470" s="3"/>
      <c r="E470" s="3"/>
    </row>
    <row r="471">
      <c r="A471" s="3"/>
      <c r="B471" s="3"/>
      <c r="C471" s="3"/>
      <c r="D471" s="3"/>
      <c r="E471" s="3"/>
    </row>
    <row r="472">
      <c r="A472" s="3"/>
      <c r="B472" s="3"/>
      <c r="C472" s="3"/>
      <c r="D472" s="3"/>
      <c r="E472" s="3"/>
    </row>
    <row r="473">
      <c r="A473" s="3"/>
      <c r="B473" s="3"/>
      <c r="C473" s="3"/>
      <c r="D473" s="3"/>
      <c r="E473" s="3"/>
    </row>
    <row r="474">
      <c r="A474" s="3"/>
      <c r="B474" s="3"/>
      <c r="C474" s="3"/>
      <c r="D474" s="3"/>
      <c r="E474" s="3"/>
    </row>
    <row r="475">
      <c r="A475" s="3"/>
      <c r="B475" s="3"/>
      <c r="C475" s="3"/>
      <c r="D475" s="3"/>
      <c r="E475" s="3"/>
    </row>
    <row r="476">
      <c r="A476" s="3"/>
      <c r="B476" s="3"/>
      <c r="C476" s="3"/>
      <c r="D476" s="3"/>
      <c r="E476" s="3"/>
    </row>
    <row r="477">
      <c r="A477" s="3"/>
      <c r="B477" s="3"/>
      <c r="C477" s="3"/>
      <c r="D477" s="3"/>
      <c r="E477" s="3"/>
    </row>
    <row r="478">
      <c r="A478" s="3"/>
      <c r="B478" s="3"/>
      <c r="C478" s="3"/>
      <c r="D478" s="3"/>
      <c r="E478" s="3"/>
    </row>
    <row r="479">
      <c r="A479" s="3"/>
      <c r="B479" s="3"/>
      <c r="C479" s="3"/>
      <c r="D479" s="3"/>
      <c r="E479" s="3"/>
    </row>
    <row r="480">
      <c r="A480" s="3"/>
      <c r="B480" s="3"/>
      <c r="C480" s="3"/>
      <c r="D480" s="3"/>
      <c r="E480" s="3"/>
    </row>
    <row r="481">
      <c r="A481" s="3"/>
      <c r="B481" s="3"/>
      <c r="C481" s="3"/>
      <c r="D481" s="3"/>
      <c r="E481" s="3"/>
    </row>
    <row r="482">
      <c r="A482" s="3"/>
      <c r="B482" s="3"/>
      <c r="C482" s="3"/>
      <c r="D482" s="3"/>
      <c r="E482" s="3"/>
    </row>
    <row r="483">
      <c r="A483" s="3"/>
      <c r="B483" s="3"/>
      <c r="C483" s="3"/>
      <c r="D483" s="3"/>
      <c r="E483" s="3"/>
    </row>
    <row r="484">
      <c r="A484" s="3"/>
      <c r="B484" s="3"/>
      <c r="C484" s="3"/>
      <c r="D484" s="3"/>
      <c r="E484" s="3"/>
    </row>
    <row r="485">
      <c r="A485" s="3"/>
      <c r="B485" s="3"/>
      <c r="C485" s="3"/>
      <c r="D485" s="3"/>
      <c r="E485" s="3"/>
    </row>
    <row r="486">
      <c r="A486" s="3"/>
      <c r="B486" s="3"/>
      <c r="C486" s="3"/>
      <c r="D486" s="3"/>
      <c r="E486" s="3"/>
    </row>
    <row r="487">
      <c r="A487" s="3"/>
      <c r="B487" s="3"/>
      <c r="C487" s="3"/>
      <c r="D487" s="3"/>
      <c r="E487" s="3"/>
    </row>
    <row r="488">
      <c r="A488" s="3"/>
      <c r="B488" s="3"/>
      <c r="C488" s="3"/>
      <c r="D488" s="3"/>
      <c r="E488" s="3"/>
    </row>
    <row r="489">
      <c r="A489" s="3"/>
      <c r="B489" s="3"/>
      <c r="C489" s="3"/>
      <c r="D489" s="3"/>
      <c r="E489" s="3"/>
    </row>
    <row r="490">
      <c r="A490" s="3"/>
      <c r="B490" s="3"/>
      <c r="C490" s="3"/>
      <c r="D490" s="3"/>
      <c r="E490" s="3"/>
    </row>
    <row r="491">
      <c r="A491" s="3"/>
      <c r="B491" s="3"/>
      <c r="C491" s="3"/>
      <c r="D491" s="3"/>
      <c r="E491" s="3"/>
    </row>
    <row r="492">
      <c r="A492" s="3"/>
      <c r="B492" s="3"/>
      <c r="C492" s="3"/>
      <c r="D492" s="3"/>
      <c r="E492" s="3"/>
    </row>
    <row r="493">
      <c r="A493" s="3"/>
      <c r="B493" s="3"/>
      <c r="C493" s="3"/>
      <c r="D493" s="3"/>
      <c r="E493" s="3"/>
    </row>
    <row r="494">
      <c r="A494" s="3"/>
      <c r="B494" s="3"/>
      <c r="C494" s="3"/>
      <c r="D494" s="3"/>
      <c r="E494" s="3"/>
    </row>
    <row r="495">
      <c r="A495" s="3"/>
      <c r="B495" s="3"/>
      <c r="C495" s="3"/>
      <c r="D495" s="3"/>
      <c r="E495" s="3"/>
    </row>
    <row r="496">
      <c r="A496" s="3"/>
      <c r="B496" s="3"/>
      <c r="C496" s="3"/>
      <c r="D496" s="3"/>
      <c r="E496" s="3"/>
    </row>
    <row r="497">
      <c r="A497" s="3"/>
      <c r="B497" s="3"/>
      <c r="C497" s="3"/>
      <c r="D497" s="3"/>
      <c r="E497" s="3"/>
    </row>
    <row r="498">
      <c r="A498" s="3"/>
      <c r="B498" s="3"/>
      <c r="C498" s="3"/>
      <c r="D498" s="3"/>
      <c r="E498" s="3"/>
    </row>
    <row r="499">
      <c r="A499" s="3"/>
      <c r="B499" s="3"/>
      <c r="C499" s="3"/>
      <c r="D499" s="3"/>
      <c r="E499" s="3"/>
    </row>
    <row r="500">
      <c r="A500" s="3"/>
      <c r="B500" s="3"/>
      <c r="C500" s="3"/>
      <c r="D500" s="3"/>
      <c r="E500" s="3"/>
    </row>
    <row r="501">
      <c r="A501" s="3"/>
      <c r="B501" s="3"/>
      <c r="C501" s="3"/>
      <c r="D501" s="3"/>
      <c r="E501" s="3"/>
    </row>
    <row r="502">
      <c r="A502" s="3"/>
      <c r="B502" s="3"/>
      <c r="C502" s="3"/>
      <c r="D502" s="3"/>
      <c r="E502" s="3"/>
    </row>
    <row r="503">
      <c r="A503" s="3"/>
      <c r="B503" s="3"/>
      <c r="C503" s="3"/>
      <c r="D503" s="3"/>
      <c r="E503" s="3"/>
    </row>
    <row r="504">
      <c r="A504" s="3"/>
      <c r="B504" s="3"/>
      <c r="C504" s="3"/>
      <c r="D504" s="3"/>
      <c r="E504" s="3"/>
    </row>
    <row r="505">
      <c r="A505" s="3"/>
      <c r="B505" s="3"/>
      <c r="C505" s="3"/>
      <c r="D505" s="3"/>
      <c r="E505" s="3"/>
    </row>
    <row r="506">
      <c r="A506" s="3"/>
      <c r="B506" s="3"/>
      <c r="C506" s="3"/>
      <c r="D506" s="3"/>
      <c r="E506" s="3"/>
    </row>
    <row r="507">
      <c r="A507" s="3"/>
      <c r="B507" s="3"/>
      <c r="C507" s="3"/>
      <c r="D507" s="3"/>
      <c r="E507" s="3"/>
    </row>
    <row r="508">
      <c r="A508" s="3"/>
      <c r="B508" s="3"/>
      <c r="C508" s="3"/>
      <c r="D508" s="3"/>
      <c r="E508" s="3"/>
    </row>
    <row r="509">
      <c r="A509" s="3"/>
      <c r="B509" s="3"/>
      <c r="C509" s="3"/>
      <c r="D509" s="3"/>
      <c r="E509" s="3"/>
    </row>
    <row r="510">
      <c r="A510" s="3"/>
      <c r="B510" s="3"/>
      <c r="C510" s="3"/>
      <c r="D510" s="3"/>
      <c r="E510" s="3"/>
    </row>
    <row r="511">
      <c r="A511" s="3"/>
      <c r="B511" s="3"/>
      <c r="C511" s="3"/>
      <c r="D511" s="3"/>
      <c r="E511" s="3"/>
    </row>
    <row r="512">
      <c r="A512" s="3"/>
      <c r="B512" s="3"/>
      <c r="C512" s="3"/>
      <c r="D512" s="3"/>
      <c r="E512" s="3"/>
    </row>
    <row r="513">
      <c r="A513" s="3"/>
      <c r="B513" s="3"/>
      <c r="C513" s="3"/>
      <c r="D513" s="3"/>
      <c r="E513" s="3"/>
    </row>
    <row r="514">
      <c r="A514" s="3"/>
      <c r="B514" s="3"/>
      <c r="C514" s="3"/>
      <c r="D514" s="3"/>
      <c r="E514" s="3"/>
    </row>
    <row r="515">
      <c r="A515" s="3"/>
      <c r="B515" s="3"/>
      <c r="C515" s="3"/>
      <c r="D515" s="3"/>
      <c r="E515" s="3"/>
    </row>
    <row r="516">
      <c r="A516" s="3"/>
      <c r="B516" s="3"/>
      <c r="C516" s="3"/>
      <c r="D516" s="3"/>
      <c r="E516" s="3"/>
    </row>
    <row r="517">
      <c r="A517" s="3"/>
      <c r="B517" s="3"/>
      <c r="C517" s="3"/>
      <c r="D517" s="3"/>
      <c r="E517" s="3"/>
    </row>
    <row r="518">
      <c r="A518" s="3"/>
      <c r="B518" s="3"/>
      <c r="C518" s="3"/>
      <c r="D518" s="3"/>
      <c r="E518" s="3"/>
    </row>
    <row r="519">
      <c r="A519" s="3"/>
      <c r="B519" s="3"/>
      <c r="C519" s="3"/>
      <c r="D519" s="3"/>
      <c r="E519" s="3"/>
    </row>
    <row r="520">
      <c r="A520" s="3"/>
      <c r="B520" s="3"/>
      <c r="C520" s="3"/>
      <c r="D520" s="3"/>
      <c r="E520" s="3"/>
    </row>
    <row r="521">
      <c r="A521" s="3"/>
      <c r="B521" s="3"/>
      <c r="C521" s="3"/>
      <c r="D521" s="3"/>
      <c r="E521" s="3"/>
    </row>
    <row r="522">
      <c r="A522" s="3"/>
      <c r="B522" s="3"/>
      <c r="C522" s="3"/>
      <c r="D522" s="3"/>
      <c r="E522" s="3"/>
    </row>
    <row r="523">
      <c r="A523" s="3"/>
      <c r="B523" s="3"/>
      <c r="C523" s="3"/>
      <c r="D523" s="3"/>
      <c r="E523" s="3"/>
    </row>
    <row r="524">
      <c r="A524" s="3"/>
      <c r="B524" s="3"/>
      <c r="C524" s="3"/>
      <c r="D524" s="3"/>
      <c r="E524" s="3"/>
    </row>
    <row r="525">
      <c r="A525" s="3"/>
      <c r="B525" s="3"/>
      <c r="C525" s="3"/>
      <c r="D525" s="3"/>
      <c r="E525" s="3"/>
    </row>
    <row r="526">
      <c r="A526" s="3"/>
      <c r="B526" s="3"/>
      <c r="C526" s="3"/>
      <c r="D526" s="3"/>
      <c r="E526" s="3"/>
    </row>
    <row r="527">
      <c r="A527" s="3"/>
      <c r="B527" s="3"/>
      <c r="C527" s="3"/>
      <c r="D527" s="3"/>
      <c r="E527" s="3"/>
    </row>
    <row r="528">
      <c r="A528" s="3"/>
      <c r="B528" s="3"/>
      <c r="C528" s="3"/>
      <c r="D528" s="3"/>
      <c r="E528" s="3"/>
    </row>
    <row r="529">
      <c r="A529" s="3"/>
      <c r="B529" s="3"/>
      <c r="C529" s="3"/>
      <c r="D529" s="3"/>
      <c r="E529" s="3"/>
    </row>
    <row r="530">
      <c r="A530" s="3"/>
      <c r="B530" s="3"/>
      <c r="C530" s="3"/>
      <c r="D530" s="3"/>
      <c r="E530" s="3"/>
    </row>
    <row r="531">
      <c r="A531" s="3"/>
      <c r="B531" s="3"/>
      <c r="C531" s="3"/>
      <c r="D531" s="3"/>
      <c r="E531" s="3"/>
    </row>
    <row r="532">
      <c r="A532" s="3"/>
      <c r="B532" s="3"/>
      <c r="C532" s="3"/>
      <c r="D532" s="3"/>
      <c r="E532" s="3"/>
    </row>
    <row r="533">
      <c r="A533" s="3"/>
      <c r="B533" s="3"/>
      <c r="C533" s="3"/>
      <c r="D533" s="3"/>
      <c r="E533" s="3"/>
    </row>
    <row r="534">
      <c r="A534" s="3"/>
      <c r="B534" s="3"/>
      <c r="C534" s="3"/>
      <c r="D534" s="3"/>
      <c r="E534" s="3"/>
    </row>
    <row r="535">
      <c r="A535" s="3"/>
      <c r="B535" s="3"/>
      <c r="C535" s="3"/>
      <c r="D535" s="3"/>
      <c r="E535" s="3"/>
    </row>
    <row r="536">
      <c r="A536" s="3"/>
      <c r="B536" s="3"/>
      <c r="C536" s="3"/>
      <c r="D536" s="3"/>
      <c r="E536" s="3"/>
    </row>
    <row r="537">
      <c r="A537" s="3"/>
      <c r="B537" s="3"/>
      <c r="C537" s="3"/>
      <c r="D537" s="3"/>
      <c r="E537" s="3"/>
    </row>
    <row r="538">
      <c r="A538" s="3"/>
      <c r="B538" s="3"/>
      <c r="C538" s="3"/>
      <c r="D538" s="3"/>
      <c r="E538" s="3"/>
    </row>
    <row r="539">
      <c r="A539" s="3"/>
      <c r="B539" s="3"/>
      <c r="C539" s="3"/>
      <c r="D539" s="3"/>
      <c r="E539" s="3"/>
    </row>
    <row r="540">
      <c r="A540" s="3"/>
      <c r="B540" s="3"/>
      <c r="C540" s="3"/>
      <c r="D540" s="3"/>
      <c r="E540" s="3"/>
    </row>
    <row r="541">
      <c r="A541" s="3"/>
      <c r="B541" s="3"/>
      <c r="C541" s="3"/>
      <c r="D541" s="3"/>
      <c r="E541" s="3"/>
    </row>
    <row r="542">
      <c r="A542" s="3"/>
      <c r="B542" s="3"/>
      <c r="C542" s="3"/>
      <c r="D542" s="3"/>
      <c r="E542" s="3"/>
    </row>
    <row r="543">
      <c r="A543" s="3"/>
      <c r="B543" s="3"/>
      <c r="C543" s="3"/>
      <c r="D543" s="3"/>
      <c r="E543" s="3"/>
    </row>
    <row r="544">
      <c r="A544" s="3"/>
      <c r="B544" s="3"/>
      <c r="C544" s="3"/>
      <c r="D544" s="3"/>
      <c r="E544" s="3"/>
    </row>
    <row r="545">
      <c r="A545" s="3"/>
      <c r="B545" s="3"/>
      <c r="C545" s="3"/>
      <c r="D545" s="3"/>
      <c r="E545" s="3"/>
    </row>
    <row r="546">
      <c r="A546" s="3"/>
      <c r="B546" s="3"/>
      <c r="C546" s="3"/>
      <c r="D546" s="3"/>
      <c r="E546" s="3"/>
    </row>
    <row r="547">
      <c r="A547" s="3"/>
      <c r="B547" s="3"/>
      <c r="C547" s="3"/>
      <c r="D547" s="3"/>
      <c r="E547" s="3"/>
    </row>
    <row r="548">
      <c r="A548" s="3"/>
      <c r="B548" s="3"/>
      <c r="C548" s="3"/>
      <c r="D548" s="3"/>
      <c r="E548" s="3"/>
    </row>
    <row r="549">
      <c r="A549" s="3"/>
      <c r="B549" s="3"/>
      <c r="C549" s="3"/>
      <c r="D549" s="3"/>
      <c r="E549" s="3"/>
    </row>
    <row r="550">
      <c r="A550" s="3"/>
      <c r="B550" s="3"/>
      <c r="C550" s="3"/>
      <c r="D550" s="3"/>
      <c r="E550" s="3"/>
    </row>
    <row r="551">
      <c r="A551" s="3"/>
      <c r="B551" s="3"/>
      <c r="C551" s="3"/>
      <c r="D551" s="3"/>
      <c r="E551" s="3"/>
    </row>
    <row r="552">
      <c r="A552" s="3"/>
      <c r="B552" s="3"/>
      <c r="C552" s="3"/>
      <c r="D552" s="3"/>
      <c r="E552" s="3"/>
    </row>
    <row r="553">
      <c r="A553" s="3"/>
      <c r="B553" s="3"/>
      <c r="C553" s="3"/>
      <c r="D553" s="3"/>
      <c r="E553" s="3"/>
    </row>
    <row r="554">
      <c r="A554" s="3"/>
      <c r="B554" s="3"/>
      <c r="C554" s="3"/>
      <c r="D554" s="3"/>
      <c r="E554" s="3"/>
    </row>
    <row r="555">
      <c r="A555" s="3"/>
      <c r="B555" s="3"/>
      <c r="C555" s="3"/>
      <c r="D555" s="3"/>
      <c r="E555" s="3"/>
    </row>
    <row r="556">
      <c r="A556" s="3"/>
      <c r="B556" s="3"/>
      <c r="C556" s="3"/>
      <c r="D556" s="3"/>
      <c r="E556" s="3"/>
    </row>
    <row r="557">
      <c r="A557" s="3"/>
      <c r="B557" s="3"/>
      <c r="C557" s="3"/>
      <c r="D557" s="3"/>
      <c r="E557" s="3"/>
    </row>
    <row r="558">
      <c r="A558" s="3"/>
      <c r="B558" s="3"/>
      <c r="C558" s="3"/>
      <c r="D558" s="3"/>
      <c r="E558" s="3"/>
    </row>
    <row r="559">
      <c r="A559" s="3"/>
      <c r="B559" s="3"/>
      <c r="C559" s="3"/>
      <c r="D559" s="3"/>
      <c r="E559" s="3"/>
    </row>
    <row r="560">
      <c r="A560" s="3"/>
      <c r="B560" s="3"/>
      <c r="C560" s="3"/>
      <c r="D560" s="3"/>
      <c r="E560" s="3"/>
    </row>
    <row r="561">
      <c r="A561" s="3"/>
      <c r="B561" s="3"/>
      <c r="C561" s="3"/>
      <c r="D561" s="3"/>
      <c r="E561" s="3"/>
    </row>
    <row r="562">
      <c r="A562" s="3"/>
      <c r="B562" s="3"/>
      <c r="C562" s="3"/>
      <c r="D562" s="3"/>
      <c r="E562" s="3"/>
    </row>
    <row r="563">
      <c r="A563" s="3"/>
      <c r="B563" s="3"/>
      <c r="C563" s="3"/>
      <c r="D563" s="3"/>
      <c r="E563" s="3"/>
    </row>
    <row r="564">
      <c r="A564" s="3"/>
      <c r="B564" s="3"/>
      <c r="C564" s="3"/>
      <c r="D564" s="3"/>
      <c r="E564" s="3"/>
    </row>
    <row r="565">
      <c r="A565" s="3"/>
      <c r="B565" s="3"/>
      <c r="C565" s="3"/>
      <c r="D565" s="3"/>
      <c r="E565" s="3"/>
    </row>
    <row r="566">
      <c r="A566" s="3"/>
      <c r="B566" s="3"/>
      <c r="C566" s="3"/>
      <c r="D566" s="3"/>
      <c r="E566" s="3"/>
    </row>
    <row r="567">
      <c r="A567" s="3"/>
      <c r="B567" s="3"/>
      <c r="C567" s="3"/>
      <c r="D567" s="3"/>
      <c r="E567" s="3"/>
    </row>
    <row r="568">
      <c r="A568" s="3"/>
      <c r="B568" s="3"/>
      <c r="C568" s="3"/>
      <c r="D568" s="3"/>
      <c r="E568" s="3"/>
    </row>
    <row r="569">
      <c r="A569" s="3"/>
      <c r="B569" s="3"/>
      <c r="C569" s="3"/>
      <c r="D569" s="3"/>
      <c r="E569" s="3"/>
    </row>
    <row r="570">
      <c r="A570" s="3"/>
      <c r="B570" s="3"/>
      <c r="C570" s="3"/>
      <c r="D570" s="3"/>
      <c r="E570" s="3"/>
    </row>
    <row r="571">
      <c r="A571" s="3"/>
      <c r="B571" s="3"/>
      <c r="C571" s="3"/>
      <c r="D571" s="3"/>
      <c r="E571" s="3"/>
    </row>
    <row r="572">
      <c r="A572" s="3"/>
      <c r="B572" s="3"/>
      <c r="C572" s="3"/>
      <c r="D572" s="3"/>
      <c r="E572" s="3"/>
    </row>
    <row r="573">
      <c r="A573" s="3"/>
      <c r="B573" s="3"/>
      <c r="C573" s="3"/>
      <c r="D573" s="3"/>
      <c r="E573" s="3"/>
    </row>
    <row r="574">
      <c r="A574" s="3"/>
      <c r="B574" s="3"/>
      <c r="C574" s="3"/>
      <c r="D574" s="3"/>
      <c r="E574" s="3"/>
    </row>
    <row r="575">
      <c r="A575" s="3"/>
      <c r="B575" s="3"/>
      <c r="C575" s="3"/>
      <c r="D575" s="3"/>
      <c r="E575" s="3"/>
    </row>
    <row r="576">
      <c r="A576" s="3"/>
      <c r="B576" s="3"/>
      <c r="C576" s="3"/>
      <c r="D576" s="3"/>
      <c r="E576" s="3"/>
    </row>
    <row r="577">
      <c r="A577" s="3"/>
      <c r="B577" s="3"/>
      <c r="C577" s="3"/>
      <c r="D577" s="3"/>
      <c r="E577" s="3"/>
    </row>
    <row r="578">
      <c r="A578" s="3"/>
      <c r="B578" s="3"/>
      <c r="C578" s="3"/>
      <c r="D578" s="3"/>
      <c r="E578" s="3"/>
    </row>
    <row r="579">
      <c r="A579" s="3"/>
      <c r="B579" s="3"/>
      <c r="C579" s="3"/>
      <c r="D579" s="3"/>
      <c r="E579" s="3"/>
    </row>
    <row r="580">
      <c r="A580" s="3"/>
      <c r="B580" s="3"/>
      <c r="C580" s="3"/>
      <c r="D580" s="3"/>
      <c r="E580" s="3"/>
    </row>
    <row r="581">
      <c r="A581" s="3"/>
      <c r="B581" s="3"/>
      <c r="C581" s="3"/>
      <c r="D581" s="3"/>
      <c r="E581" s="3"/>
    </row>
    <row r="582">
      <c r="A582" s="3"/>
      <c r="B582" s="3"/>
      <c r="C582" s="3"/>
      <c r="D582" s="3"/>
      <c r="E582" s="3"/>
    </row>
    <row r="583">
      <c r="A583" s="3"/>
      <c r="B583" s="3"/>
      <c r="C583" s="3"/>
      <c r="D583" s="3"/>
      <c r="E583" s="3"/>
    </row>
    <row r="584">
      <c r="A584" s="3"/>
      <c r="B584" s="3"/>
      <c r="C584" s="3"/>
      <c r="D584" s="3"/>
      <c r="E584" s="3"/>
    </row>
    <row r="585">
      <c r="A585" s="3"/>
      <c r="B585" s="3"/>
      <c r="C585" s="3"/>
      <c r="D585" s="3"/>
      <c r="E585" s="3"/>
    </row>
    <row r="586">
      <c r="A586" s="3"/>
      <c r="B586" s="3"/>
      <c r="C586" s="3"/>
      <c r="D586" s="3"/>
      <c r="E586" s="3"/>
    </row>
    <row r="587">
      <c r="A587" s="3"/>
      <c r="B587" s="3"/>
      <c r="C587" s="3"/>
      <c r="D587" s="3"/>
      <c r="E587" s="3"/>
    </row>
    <row r="588">
      <c r="A588" s="3"/>
      <c r="B588" s="3"/>
      <c r="C588" s="3"/>
      <c r="D588" s="3"/>
      <c r="E588" s="3"/>
    </row>
    <row r="589">
      <c r="A589" s="3"/>
      <c r="B589" s="3"/>
      <c r="C589" s="3"/>
      <c r="D589" s="3"/>
      <c r="E589" s="3"/>
    </row>
    <row r="590">
      <c r="A590" s="3"/>
      <c r="B590" s="3"/>
      <c r="C590" s="3"/>
      <c r="D590" s="3"/>
      <c r="E590" s="3"/>
    </row>
    <row r="591">
      <c r="A591" s="3"/>
      <c r="B591" s="3"/>
      <c r="C591" s="3"/>
      <c r="D591" s="3"/>
      <c r="E591" s="3"/>
    </row>
    <row r="592">
      <c r="A592" s="3"/>
      <c r="B592" s="3"/>
      <c r="C592" s="3"/>
      <c r="D592" s="3"/>
      <c r="E592" s="3"/>
    </row>
    <row r="593">
      <c r="A593" s="3"/>
      <c r="B593" s="3"/>
      <c r="C593" s="3"/>
      <c r="D593" s="3"/>
      <c r="E593" s="3"/>
    </row>
    <row r="594">
      <c r="A594" s="3"/>
      <c r="B594" s="3"/>
      <c r="C594" s="3"/>
      <c r="D594" s="3"/>
      <c r="E594" s="3"/>
    </row>
    <row r="595">
      <c r="A595" s="3"/>
      <c r="B595" s="3"/>
      <c r="C595" s="3"/>
      <c r="D595" s="3"/>
      <c r="E595" s="3"/>
    </row>
    <row r="596">
      <c r="A596" s="3"/>
      <c r="B596" s="3"/>
      <c r="C596" s="3"/>
      <c r="D596" s="3"/>
      <c r="E596" s="3"/>
    </row>
    <row r="597">
      <c r="A597" s="3"/>
      <c r="B597" s="3"/>
      <c r="C597" s="3"/>
      <c r="D597" s="3"/>
      <c r="E597" s="3"/>
    </row>
    <row r="598">
      <c r="A598" s="3"/>
      <c r="B598" s="3"/>
      <c r="C598" s="3"/>
      <c r="D598" s="3"/>
      <c r="E598" s="3"/>
    </row>
    <row r="599">
      <c r="A599" s="3"/>
      <c r="B599" s="3"/>
      <c r="C599" s="3"/>
      <c r="D599" s="3"/>
      <c r="E599" s="3"/>
    </row>
    <row r="600">
      <c r="A600" s="3"/>
      <c r="B600" s="3"/>
      <c r="C600" s="3"/>
      <c r="D600" s="3"/>
      <c r="E600" s="3"/>
    </row>
    <row r="601">
      <c r="A601" s="3"/>
      <c r="B601" s="3"/>
      <c r="C601" s="3"/>
      <c r="D601" s="3"/>
      <c r="E601" s="3"/>
    </row>
    <row r="602">
      <c r="A602" s="3"/>
      <c r="B602" s="3"/>
      <c r="C602" s="3"/>
      <c r="D602" s="3"/>
      <c r="E602" s="3"/>
    </row>
    <row r="603">
      <c r="A603" s="3"/>
      <c r="B603" s="3"/>
      <c r="C603" s="3"/>
      <c r="D603" s="3"/>
      <c r="E603" s="3"/>
    </row>
    <row r="604">
      <c r="A604" s="3"/>
      <c r="B604" s="3"/>
      <c r="C604" s="3"/>
      <c r="D604" s="3"/>
      <c r="E604" s="3"/>
    </row>
    <row r="605">
      <c r="A605" s="3"/>
      <c r="B605" s="3"/>
      <c r="C605" s="3"/>
      <c r="D605" s="3"/>
      <c r="E605" s="3"/>
    </row>
    <row r="606">
      <c r="A606" s="3"/>
      <c r="B606" s="3"/>
      <c r="C606" s="3"/>
      <c r="D606" s="3"/>
      <c r="E606" s="3"/>
    </row>
    <row r="607">
      <c r="A607" s="3"/>
      <c r="B607" s="3"/>
      <c r="C607" s="3"/>
      <c r="D607" s="3"/>
      <c r="E607" s="3"/>
    </row>
    <row r="608">
      <c r="A608" s="3"/>
      <c r="B608" s="3"/>
      <c r="C608" s="3"/>
      <c r="D608" s="3"/>
      <c r="E608" s="3"/>
    </row>
    <row r="609">
      <c r="A609" s="3"/>
      <c r="B609" s="3"/>
      <c r="C609" s="3"/>
      <c r="D609" s="3"/>
      <c r="E609" s="3"/>
    </row>
    <row r="610">
      <c r="A610" s="3"/>
      <c r="B610" s="3"/>
      <c r="C610" s="3"/>
      <c r="D610" s="3"/>
      <c r="E610" s="3"/>
    </row>
    <row r="611">
      <c r="A611" s="3"/>
      <c r="B611" s="3"/>
      <c r="C611" s="3"/>
      <c r="D611" s="3"/>
      <c r="E611" s="3"/>
    </row>
    <row r="612">
      <c r="A612" s="3"/>
      <c r="B612" s="3"/>
      <c r="C612" s="3"/>
      <c r="D612" s="3"/>
      <c r="E612" s="3"/>
    </row>
    <row r="613">
      <c r="A613" s="3"/>
      <c r="B613" s="3"/>
      <c r="C613" s="3"/>
      <c r="D613" s="3"/>
      <c r="E613" s="3"/>
    </row>
    <row r="614">
      <c r="A614" s="3"/>
      <c r="B614" s="3"/>
      <c r="C614" s="3"/>
      <c r="D614" s="3"/>
      <c r="E614" s="3"/>
    </row>
    <row r="615">
      <c r="A615" s="3"/>
      <c r="B615" s="3"/>
      <c r="C615" s="3"/>
      <c r="D615" s="3"/>
      <c r="E615" s="3"/>
    </row>
    <row r="616">
      <c r="A616" s="3"/>
      <c r="B616" s="3"/>
      <c r="C616" s="3"/>
      <c r="D616" s="3"/>
      <c r="E616" s="3"/>
    </row>
    <row r="617">
      <c r="A617" s="3"/>
      <c r="B617" s="3"/>
      <c r="C617" s="3"/>
      <c r="D617" s="3"/>
      <c r="E617" s="3"/>
    </row>
    <row r="618">
      <c r="A618" s="3"/>
      <c r="B618" s="3"/>
      <c r="C618" s="3"/>
      <c r="D618" s="3"/>
      <c r="E618" s="3"/>
    </row>
    <row r="619">
      <c r="A619" s="3"/>
      <c r="B619" s="3"/>
      <c r="C619" s="3"/>
      <c r="D619" s="3"/>
      <c r="E619" s="3"/>
    </row>
    <row r="620">
      <c r="A620" s="3"/>
      <c r="B620" s="3"/>
      <c r="C620" s="3"/>
      <c r="D620" s="3"/>
      <c r="E620" s="3"/>
    </row>
    <row r="621">
      <c r="A621" s="3"/>
      <c r="B621" s="3"/>
      <c r="C621" s="3"/>
      <c r="D621" s="3"/>
      <c r="E621" s="3"/>
    </row>
    <row r="622">
      <c r="A622" s="3"/>
      <c r="B622" s="3"/>
      <c r="C622" s="3"/>
      <c r="D622" s="3"/>
      <c r="E622" s="3"/>
    </row>
    <row r="623">
      <c r="A623" s="3"/>
      <c r="B623" s="3"/>
      <c r="C623" s="3"/>
      <c r="D623" s="3"/>
      <c r="E623" s="3"/>
    </row>
    <row r="624">
      <c r="A624" s="3"/>
      <c r="B624" s="3"/>
      <c r="C624" s="3"/>
      <c r="D624" s="3"/>
      <c r="E624" s="3"/>
    </row>
    <row r="625">
      <c r="A625" s="3"/>
      <c r="B625" s="3"/>
      <c r="C625" s="3"/>
      <c r="D625" s="3"/>
      <c r="E625" s="3"/>
    </row>
    <row r="626">
      <c r="A626" s="3"/>
      <c r="B626" s="3"/>
      <c r="C626" s="3"/>
      <c r="D626" s="3"/>
      <c r="E626" s="3"/>
    </row>
    <row r="627">
      <c r="A627" s="3"/>
      <c r="B627" s="3"/>
      <c r="C627" s="3"/>
      <c r="D627" s="3"/>
      <c r="E627" s="3"/>
    </row>
    <row r="628">
      <c r="A628" s="3"/>
      <c r="B628" s="3"/>
      <c r="C628" s="3"/>
      <c r="D628" s="3"/>
      <c r="E628" s="3"/>
    </row>
    <row r="629">
      <c r="A629" s="3"/>
      <c r="B629" s="3"/>
      <c r="C629" s="3"/>
      <c r="D629" s="3"/>
      <c r="E629" s="3"/>
    </row>
    <row r="630">
      <c r="A630" s="3"/>
      <c r="B630" s="3"/>
      <c r="C630" s="3"/>
      <c r="D630" s="3"/>
      <c r="E630" s="3"/>
    </row>
    <row r="631">
      <c r="A631" s="3"/>
      <c r="B631" s="3"/>
      <c r="C631" s="3"/>
      <c r="D631" s="3"/>
      <c r="E631" s="3"/>
    </row>
    <row r="632">
      <c r="A632" s="3"/>
      <c r="B632" s="3"/>
      <c r="C632" s="3"/>
      <c r="D632" s="3"/>
      <c r="E632" s="3"/>
    </row>
    <row r="633">
      <c r="A633" s="3"/>
      <c r="B633" s="3"/>
      <c r="C633" s="3"/>
      <c r="D633" s="3"/>
      <c r="E633" s="3"/>
    </row>
    <row r="634">
      <c r="A634" s="3"/>
      <c r="B634" s="3"/>
      <c r="C634" s="3"/>
      <c r="D634" s="3"/>
      <c r="E634" s="3"/>
    </row>
    <row r="635">
      <c r="A635" s="3"/>
      <c r="B635" s="3"/>
      <c r="C635" s="3"/>
      <c r="D635" s="3"/>
      <c r="E635" s="3"/>
    </row>
    <row r="636">
      <c r="A636" s="3"/>
      <c r="B636" s="3"/>
      <c r="C636" s="3"/>
      <c r="D636" s="3"/>
      <c r="E636" s="3"/>
    </row>
    <row r="637">
      <c r="A637" s="3"/>
      <c r="B637" s="3"/>
      <c r="C637" s="3"/>
      <c r="D637" s="3"/>
      <c r="E637" s="3"/>
    </row>
    <row r="638">
      <c r="A638" s="3"/>
      <c r="B638" s="3"/>
      <c r="C638" s="3"/>
      <c r="D638" s="3"/>
      <c r="E638" s="3"/>
    </row>
    <row r="639">
      <c r="A639" s="3"/>
      <c r="B639" s="3"/>
      <c r="C639" s="3"/>
      <c r="D639" s="3"/>
      <c r="E639" s="3"/>
    </row>
    <row r="640">
      <c r="A640" s="3"/>
      <c r="B640" s="3"/>
      <c r="C640" s="3"/>
      <c r="D640" s="3"/>
      <c r="E640" s="3"/>
    </row>
    <row r="641">
      <c r="A641" s="3"/>
      <c r="B641" s="3"/>
      <c r="C641" s="3"/>
      <c r="D641" s="3"/>
      <c r="E641" s="3"/>
    </row>
    <row r="642">
      <c r="A642" s="3"/>
      <c r="B642" s="3"/>
      <c r="C642" s="3"/>
      <c r="D642" s="3"/>
      <c r="E642" s="3"/>
    </row>
    <row r="643">
      <c r="A643" s="3"/>
      <c r="B643" s="3"/>
      <c r="C643" s="3"/>
      <c r="D643" s="3"/>
      <c r="E643" s="3"/>
    </row>
    <row r="644">
      <c r="A644" s="3"/>
      <c r="B644" s="3"/>
      <c r="C644" s="3"/>
      <c r="D644" s="3"/>
      <c r="E644" s="3"/>
    </row>
    <row r="645">
      <c r="A645" s="3"/>
      <c r="B645" s="3"/>
      <c r="C645" s="3"/>
      <c r="D645" s="3"/>
      <c r="E645" s="3"/>
    </row>
    <row r="646">
      <c r="A646" s="3"/>
      <c r="B646" s="3"/>
      <c r="C646" s="3"/>
      <c r="D646" s="3"/>
      <c r="E646" s="3"/>
    </row>
    <row r="647">
      <c r="A647" s="3"/>
      <c r="B647" s="3"/>
      <c r="C647" s="3"/>
      <c r="D647" s="3"/>
      <c r="E647" s="3"/>
    </row>
    <row r="648">
      <c r="A648" s="3"/>
      <c r="B648" s="3"/>
      <c r="C648" s="3"/>
      <c r="D648" s="3"/>
      <c r="E648" s="3"/>
    </row>
    <row r="649">
      <c r="A649" s="3"/>
      <c r="B649" s="3"/>
      <c r="C649" s="3"/>
      <c r="D649" s="3"/>
      <c r="E649" s="3"/>
    </row>
    <row r="650">
      <c r="A650" s="3"/>
      <c r="B650" s="3"/>
      <c r="C650" s="3"/>
      <c r="D650" s="3"/>
      <c r="E650" s="3"/>
    </row>
    <row r="651">
      <c r="A651" s="3"/>
      <c r="B651" s="3"/>
      <c r="C651" s="3"/>
      <c r="D651" s="3"/>
      <c r="E651" s="3"/>
    </row>
    <row r="652">
      <c r="A652" s="3"/>
      <c r="B652" s="3"/>
      <c r="C652" s="3"/>
      <c r="D652" s="3"/>
      <c r="E652" s="3"/>
    </row>
    <row r="653">
      <c r="A653" s="3"/>
      <c r="B653" s="3"/>
      <c r="C653" s="3"/>
      <c r="D653" s="3"/>
      <c r="E653" s="3"/>
    </row>
    <row r="654">
      <c r="A654" s="3"/>
      <c r="B654" s="3"/>
      <c r="C654" s="3"/>
      <c r="D654" s="3"/>
      <c r="E654" s="3"/>
    </row>
    <row r="655">
      <c r="A655" s="3"/>
      <c r="B655" s="3"/>
      <c r="C655" s="3"/>
      <c r="D655" s="3"/>
      <c r="E655" s="3"/>
    </row>
    <row r="656">
      <c r="A656" s="3"/>
      <c r="B656" s="3"/>
      <c r="C656" s="3"/>
      <c r="D656" s="3"/>
      <c r="E656" s="3"/>
    </row>
    <row r="657">
      <c r="A657" s="3"/>
      <c r="B657" s="3"/>
      <c r="C657" s="3"/>
      <c r="D657" s="3"/>
      <c r="E657" s="3"/>
    </row>
    <row r="658">
      <c r="A658" s="3"/>
      <c r="B658" s="3"/>
      <c r="C658" s="3"/>
      <c r="D658" s="3"/>
      <c r="E658" s="3"/>
    </row>
    <row r="659">
      <c r="A659" s="3"/>
      <c r="B659" s="3"/>
      <c r="C659" s="3"/>
      <c r="D659" s="3"/>
      <c r="E659" s="3"/>
    </row>
    <row r="660">
      <c r="A660" s="3"/>
      <c r="B660" s="3"/>
      <c r="C660" s="3"/>
      <c r="D660" s="3"/>
      <c r="E660" s="3"/>
    </row>
    <row r="661">
      <c r="A661" s="3"/>
      <c r="B661" s="3"/>
      <c r="C661" s="3"/>
      <c r="D661" s="3"/>
      <c r="E661" s="3"/>
    </row>
    <row r="662">
      <c r="A662" s="3"/>
      <c r="B662" s="3"/>
      <c r="C662" s="3"/>
      <c r="D662" s="3"/>
      <c r="E662" s="3"/>
    </row>
    <row r="663">
      <c r="A663" s="3"/>
      <c r="B663" s="3"/>
      <c r="C663" s="3"/>
      <c r="D663" s="3"/>
      <c r="E663" s="3"/>
    </row>
    <row r="664">
      <c r="A664" s="3"/>
      <c r="B664" s="3"/>
      <c r="C664" s="3"/>
      <c r="D664" s="3"/>
      <c r="E664" s="3"/>
    </row>
    <row r="665">
      <c r="A665" s="3"/>
      <c r="B665" s="3"/>
      <c r="C665" s="3"/>
      <c r="D665" s="3"/>
      <c r="E665" s="3"/>
    </row>
    <row r="666">
      <c r="A666" s="3"/>
      <c r="B666" s="3"/>
      <c r="C666" s="3"/>
      <c r="D666" s="3"/>
      <c r="E666" s="3"/>
    </row>
    <row r="667">
      <c r="A667" s="3"/>
      <c r="B667" s="3"/>
      <c r="C667" s="3"/>
      <c r="D667" s="3"/>
      <c r="E667" s="3"/>
    </row>
    <row r="668">
      <c r="A668" s="3"/>
      <c r="B668" s="3"/>
      <c r="C668" s="3"/>
      <c r="D668" s="3"/>
      <c r="E668" s="3"/>
    </row>
    <row r="669">
      <c r="A669" s="3"/>
      <c r="B669" s="3"/>
      <c r="C669" s="3"/>
      <c r="D669" s="3"/>
      <c r="E669" s="3"/>
    </row>
    <row r="670">
      <c r="A670" s="3"/>
      <c r="B670" s="3"/>
      <c r="C670" s="3"/>
      <c r="D670" s="3"/>
      <c r="E670" s="3"/>
    </row>
    <row r="671">
      <c r="A671" s="3"/>
      <c r="B671" s="3"/>
      <c r="C671" s="3"/>
      <c r="D671" s="3"/>
      <c r="E671" s="3"/>
    </row>
    <row r="672">
      <c r="A672" s="3"/>
      <c r="B672" s="3"/>
      <c r="C672" s="3"/>
      <c r="D672" s="3"/>
      <c r="E672" s="3"/>
    </row>
    <row r="673">
      <c r="A673" s="3"/>
      <c r="B673" s="3"/>
      <c r="C673" s="3"/>
      <c r="D673" s="3"/>
      <c r="E673" s="3"/>
    </row>
    <row r="674">
      <c r="A674" s="3"/>
      <c r="B674" s="3"/>
      <c r="C674" s="3"/>
      <c r="D674" s="3"/>
      <c r="E674" s="3"/>
    </row>
    <row r="675">
      <c r="A675" s="3"/>
      <c r="B675" s="3"/>
      <c r="C675" s="3"/>
      <c r="D675" s="3"/>
      <c r="E675" s="3"/>
    </row>
    <row r="676">
      <c r="A676" s="3"/>
      <c r="B676" s="3"/>
      <c r="C676" s="3"/>
      <c r="D676" s="3"/>
      <c r="E676" s="3"/>
    </row>
    <row r="677">
      <c r="A677" s="3"/>
      <c r="B677" s="3"/>
      <c r="C677" s="3"/>
      <c r="D677" s="3"/>
      <c r="E677" s="3"/>
    </row>
    <row r="678">
      <c r="A678" s="3"/>
      <c r="B678" s="3"/>
      <c r="C678" s="3"/>
      <c r="D678" s="3"/>
      <c r="E678" s="3"/>
    </row>
    <row r="679">
      <c r="A679" s="3"/>
      <c r="B679" s="3"/>
      <c r="C679" s="3"/>
      <c r="D679" s="3"/>
      <c r="E679" s="3"/>
    </row>
    <row r="680">
      <c r="A680" s="3"/>
      <c r="B680" s="3"/>
      <c r="C680" s="3"/>
      <c r="D680" s="3"/>
      <c r="E680" s="3"/>
    </row>
    <row r="681">
      <c r="A681" s="3"/>
      <c r="B681" s="3"/>
      <c r="C681" s="3"/>
      <c r="D681" s="3"/>
      <c r="E681" s="3"/>
    </row>
    <row r="682">
      <c r="A682" s="3"/>
      <c r="B682" s="3"/>
      <c r="C682" s="3"/>
      <c r="D682" s="3"/>
      <c r="E682" s="3"/>
    </row>
    <row r="683">
      <c r="A683" s="3"/>
      <c r="B683" s="3"/>
      <c r="C683" s="3"/>
      <c r="D683" s="3"/>
      <c r="E683" s="3"/>
    </row>
    <row r="684">
      <c r="A684" s="3"/>
      <c r="B684" s="3"/>
      <c r="C684" s="3"/>
      <c r="D684" s="3"/>
      <c r="E684" s="3"/>
    </row>
    <row r="685">
      <c r="A685" s="3"/>
      <c r="B685" s="3"/>
      <c r="C685" s="3"/>
      <c r="D685" s="3"/>
      <c r="E685" s="3"/>
    </row>
    <row r="686">
      <c r="A686" s="3"/>
      <c r="B686" s="3"/>
      <c r="C686" s="3"/>
      <c r="D686" s="3"/>
      <c r="E686" s="3"/>
    </row>
    <row r="687">
      <c r="A687" s="3"/>
      <c r="B687" s="3"/>
      <c r="C687" s="3"/>
      <c r="D687" s="3"/>
      <c r="E687" s="3"/>
    </row>
    <row r="688">
      <c r="A688" s="3"/>
      <c r="B688" s="3"/>
      <c r="C688" s="3"/>
      <c r="D688" s="3"/>
      <c r="E688" s="3"/>
    </row>
    <row r="689">
      <c r="A689" s="3"/>
      <c r="B689" s="3"/>
      <c r="C689" s="3"/>
      <c r="D689" s="3"/>
      <c r="E689" s="3"/>
    </row>
    <row r="690">
      <c r="A690" s="3"/>
      <c r="B690" s="3"/>
      <c r="C690" s="3"/>
      <c r="D690" s="3"/>
      <c r="E690" s="3"/>
    </row>
    <row r="691">
      <c r="A691" s="3"/>
      <c r="B691" s="3"/>
      <c r="C691" s="3"/>
      <c r="D691" s="3"/>
      <c r="E691" s="3"/>
    </row>
    <row r="692">
      <c r="A692" s="3"/>
      <c r="B692" s="3"/>
      <c r="C692" s="3"/>
      <c r="D692" s="3"/>
      <c r="E692" s="3"/>
    </row>
    <row r="693">
      <c r="A693" s="3"/>
      <c r="B693" s="3"/>
      <c r="C693" s="3"/>
      <c r="D693" s="3"/>
      <c r="E693" s="3"/>
    </row>
    <row r="694">
      <c r="A694" s="3"/>
      <c r="B694" s="3"/>
      <c r="C694" s="3"/>
      <c r="D694" s="3"/>
      <c r="E694" s="3"/>
    </row>
    <row r="695">
      <c r="A695" s="3"/>
      <c r="B695" s="3"/>
      <c r="C695" s="3"/>
      <c r="D695" s="3"/>
      <c r="E695" s="3"/>
    </row>
    <row r="696">
      <c r="A696" s="3"/>
      <c r="B696" s="3"/>
      <c r="C696" s="3"/>
      <c r="D696" s="3"/>
      <c r="E696" s="3"/>
    </row>
    <row r="697">
      <c r="A697" s="3"/>
      <c r="B697" s="3"/>
      <c r="C697" s="3"/>
      <c r="D697" s="3"/>
      <c r="E697" s="3"/>
    </row>
    <row r="698">
      <c r="A698" s="3"/>
      <c r="B698" s="3"/>
      <c r="C698" s="3"/>
      <c r="D698" s="3"/>
      <c r="E698" s="3"/>
    </row>
    <row r="699">
      <c r="A699" s="3"/>
      <c r="B699" s="3"/>
      <c r="C699" s="3"/>
      <c r="D699" s="3"/>
      <c r="E699" s="3"/>
    </row>
    <row r="700">
      <c r="A700" s="3"/>
      <c r="B700" s="3"/>
      <c r="C700" s="3"/>
      <c r="D700" s="3"/>
      <c r="E700" s="3"/>
    </row>
    <row r="701">
      <c r="A701" s="3"/>
      <c r="B701" s="3"/>
      <c r="C701" s="3"/>
      <c r="D701" s="3"/>
      <c r="E701" s="3"/>
    </row>
    <row r="702">
      <c r="A702" s="3"/>
      <c r="B702" s="3"/>
      <c r="C702" s="3"/>
      <c r="D702" s="3"/>
      <c r="E702" s="3"/>
    </row>
    <row r="703">
      <c r="A703" s="3"/>
      <c r="B703" s="3"/>
      <c r="C703" s="3"/>
      <c r="D703" s="3"/>
      <c r="E703" s="3"/>
    </row>
    <row r="704">
      <c r="A704" s="3"/>
      <c r="B704" s="3"/>
      <c r="C704" s="3"/>
      <c r="D704" s="3"/>
      <c r="E704" s="3"/>
    </row>
    <row r="705">
      <c r="A705" s="3"/>
      <c r="B705" s="3"/>
      <c r="C705" s="3"/>
      <c r="D705" s="3"/>
      <c r="E705" s="3"/>
    </row>
    <row r="706">
      <c r="A706" s="3"/>
      <c r="B706" s="3"/>
      <c r="C706" s="3"/>
      <c r="D706" s="3"/>
      <c r="E706" s="3"/>
    </row>
    <row r="707">
      <c r="A707" s="3"/>
      <c r="B707" s="3"/>
      <c r="C707" s="3"/>
      <c r="D707" s="3"/>
      <c r="E707" s="3"/>
    </row>
    <row r="708">
      <c r="A708" s="3"/>
      <c r="B708" s="3"/>
      <c r="C708" s="3"/>
      <c r="D708" s="3"/>
      <c r="E708" s="3"/>
    </row>
    <row r="709">
      <c r="A709" s="3"/>
      <c r="B709" s="3"/>
      <c r="C709" s="3"/>
      <c r="D709" s="3"/>
      <c r="E709" s="3"/>
    </row>
    <row r="710">
      <c r="A710" s="3"/>
      <c r="B710" s="3"/>
      <c r="C710" s="3"/>
      <c r="D710" s="3"/>
      <c r="E710" s="3"/>
    </row>
    <row r="711">
      <c r="A711" s="3"/>
      <c r="B711" s="3"/>
      <c r="C711" s="3"/>
      <c r="D711" s="3"/>
      <c r="E711" s="3"/>
    </row>
    <row r="712">
      <c r="A712" s="3"/>
      <c r="B712" s="3"/>
      <c r="C712" s="3"/>
      <c r="D712" s="3"/>
      <c r="E712" s="3"/>
    </row>
    <row r="713">
      <c r="A713" s="3"/>
      <c r="B713" s="3"/>
      <c r="C713" s="3"/>
      <c r="D713" s="3"/>
      <c r="E713" s="3"/>
    </row>
    <row r="714">
      <c r="A714" s="3"/>
      <c r="B714" s="3"/>
      <c r="C714" s="3"/>
      <c r="D714" s="3"/>
      <c r="E714" s="3"/>
    </row>
    <row r="715">
      <c r="A715" s="3"/>
      <c r="B715" s="3"/>
      <c r="C715" s="3"/>
      <c r="D715" s="3"/>
      <c r="E715" s="3"/>
    </row>
    <row r="716">
      <c r="A716" s="3"/>
      <c r="B716" s="3"/>
      <c r="C716" s="3"/>
      <c r="D716" s="3"/>
      <c r="E716" s="3"/>
    </row>
    <row r="717">
      <c r="A717" s="3"/>
      <c r="B717" s="3"/>
      <c r="C717" s="3"/>
      <c r="D717" s="3"/>
      <c r="E717" s="3"/>
    </row>
    <row r="718">
      <c r="A718" s="3"/>
      <c r="B718" s="3"/>
      <c r="C718" s="3"/>
      <c r="D718" s="3"/>
      <c r="E718" s="3"/>
    </row>
    <row r="719">
      <c r="A719" s="3"/>
      <c r="B719" s="3"/>
      <c r="C719" s="3"/>
      <c r="D719" s="3"/>
      <c r="E719" s="3"/>
    </row>
    <row r="720">
      <c r="A720" s="3"/>
      <c r="B720" s="3"/>
      <c r="C720" s="3"/>
      <c r="D720" s="3"/>
      <c r="E720" s="3"/>
    </row>
    <row r="721">
      <c r="A721" s="3"/>
      <c r="B721" s="3"/>
      <c r="C721" s="3"/>
      <c r="D721" s="3"/>
      <c r="E721" s="3"/>
    </row>
    <row r="722">
      <c r="A722" s="3"/>
      <c r="B722" s="3"/>
      <c r="C722" s="3"/>
      <c r="D722" s="3"/>
      <c r="E722" s="3"/>
    </row>
    <row r="723">
      <c r="A723" s="3"/>
      <c r="B723" s="3"/>
      <c r="C723" s="3"/>
      <c r="D723" s="3"/>
      <c r="E723" s="3"/>
    </row>
    <row r="724">
      <c r="A724" s="3"/>
      <c r="B724" s="3"/>
      <c r="C724" s="3"/>
      <c r="D724" s="3"/>
      <c r="E724" s="3"/>
    </row>
    <row r="725">
      <c r="A725" s="3"/>
      <c r="B725" s="3"/>
      <c r="C725" s="3"/>
      <c r="D725" s="3"/>
      <c r="E725" s="3"/>
    </row>
    <row r="726">
      <c r="A726" s="3"/>
      <c r="B726" s="3"/>
      <c r="C726" s="3"/>
      <c r="D726" s="3"/>
      <c r="E726" s="3"/>
    </row>
    <row r="727">
      <c r="A727" s="3"/>
      <c r="B727" s="3"/>
      <c r="C727" s="3"/>
      <c r="D727" s="3"/>
      <c r="E727" s="3"/>
    </row>
    <row r="728">
      <c r="A728" s="3"/>
      <c r="B728" s="3"/>
      <c r="C728" s="3"/>
      <c r="D728" s="3"/>
      <c r="E728" s="3"/>
    </row>
    <row r="729">
      <c r="A729" s="3"/>
      <c r="B729" s="3"/>
      <c r="C729" s="3"/>
      <c r="D729" s="3"/>
      <c r="E729" s="3"/>
    </row>
    <row r="730">
      <c r="A730" s="3"/>
      <c r="B730" s="3"/>
      <c r="C730" s="3"/>
      <c r="D730" s="3"/>
      <c r="E730" s="3"/>
    </row>
    <row r="731">
      <c r="A731" s="3"/>
      <c r="B731" s="3"/>
      <c r="C731" s="3"/>
      <c r="D731" s="3"/>
      <c r="E731" s="3"/>
    </row>
    <row r="732">
      <c r="A732" s="3"/>
      <c r="B732" s="3"/>
      <c r="C732" s="3"/>
      <c r="D732" s="3"/>
      <c r="E732" s="3"/>
    </row>
    <row r="733">
      <c r="A733" s="3"/>
      <c r="B733" s="3"/>
      <c r="C733" s="3"/>
      <c r="D733" s="3"/>
      <c r="E733" s="3"/>
    </row>
    <row r="734">
      <c r="A734" s="3"/>
      <c r="B734" s="3"/>
      <c r="C734" s="3"/>
      <c r="D734" s="3"/>
      <c r="E734" s="3"/>
    </row>
    <row r="735">
      <c r="A735" s="3"/>
      <c r="B735" s="3"/>
      <c r="C735" s="3"/>
      <c r="D735" s="3"/>
      <c r="E735" s="3"/>
    </row>
    <row r="736">
      <c r="A736" s="3"/>
      <c r="B736" s="3"/>
      <c r="C736" s="3"/>
      <c r="D736" s="3"/>
      <c r="E736" s="3"/>
    </row>
    <row r="737">
      <c r="A737" s="3"/>
      <c r="B737" s="3"/>
      <c r="C737" s="3"/>
      <c r="D737" s="3"/>
      <c r="E737" s="3"/>
    </row>
    <row r="738">
      <c r="A738" s="3"/>
      <c r="B738" s="3"/>
      <c r="C738" s="3"/>
      <c r="D738" s="3"/>
      <c r="E738" s="3"/>
    </row>
    <row r="739">
      <c r="A739" s="3"/>
      <c r="B739" s="3"/>
      <c r="C739" s="3"/>
      <c r="D739" s="3"/>
      <c r="E739" s="3"/>
    </row>
    <row r="740">
      <c r="A740" s="3"/>
      <c r="B740" s="3"/>
      <c r="C740" s="3"/>
      <c r="D740" s="3"/>
      <c r="E740" s="3"/>
    </row>
    <row r="741">
      <c r="A741" s="3"/>
      <c r="B741" s="3"/>
      <c r="C741" s="3"/>
      <c r="D741" s="3"/>
      <c r="E741" s="3"/>
    </row>
    <row r="742">
      <c r="A742" s="3"/>
      <c r="B742" s="3"/>
      <c r="C742" s="3"/>
      <c r="D742" s="3"/>
      <c r="E742" s="3"/>
    </row>
    <row r="743">
      <c r="A743" s="3"/>
      <c r="B743" s="3"/>
      <c r="C743" s="3"/>
      <c r="D743" s="3"/>
      <c r="E743" s="3"/>
    </row>
    <row r="744">
      <c r="A744" s="3"/>
      <c r="B744" s="3"/>
      <c r="C744" s="3"/>
      <c r="D744" s="3"/>
      <c r="E744" s="3"/>
    </row>
    <row r="745">
      <c r="A745" s="3"/>
      <c r="B745" s="3"/>
      <c r="C745" s="3"/>
      <c r="D745" s="3"/>
      <c r="E745" s="3"/>
    </row>
    <row r="746">
      <c r="A746" s="3"/>
      <c r="B746" s="3"/>
      <c r="C746" s="3"/>
      <c r="D746" s="3"/>
      <c r="E746" s="3"/>
    </row>
    <row r="747">
      <c r="A747" s="3"/>
      <c r="B747" s="3"/>
      <c r="C747" s="3"/>
      <c r="D747" s="3"/>
      <c r="E747" s="3"/>
    </row>
    <row r="748">
      <c r="A748" s="3"/>
      <c r="B748" s="3"/>
      <c r="C748" s="3"/>
      <c r="D748" s="3"/>
      <c r="E748" s="3"/>
    </row>
    <row r="749">
      <c r="A749" s="3"/>
      <c r="B749" s="3"/>
      <c r="C749" s="3"/>
      <c r="D749" s="3"/>
      <c r="E749" s="3"/>
    </row>
    <row r="750">
      <c r="A750" s="3"/>
      <c r="B750" s="3"/>
      <c r="C750" s="3"/>
      <c r="D750" s="3"/>
      <c r="E750" s="3"/>
    </row>
    <row r="751">
      <c r="A751" s="3"/>
      <c r="B751" s="3"/>
      <c r="C751" s="3"/>
      <c r="D751" s="3"/>
      <c r="E751" s="3"/>
    </row>
    <row r="752">
      <c r="A752" s="3"/>
      <c r="B752" s="3"/>
      <c r="C752" s="3"/>
      <c r="D752" s="3"/>
      <c r="E752" s="3"/>
    </row>
    <row r="753">
      <c r="A753" s="3"/>
      <c r="B753" s="3"/>
      <c r="C753" s="3"/>
      <c r="D753" s="3"/>
      <c r="E753" s="3"/>
    </row>
    <row r="754">
      <c r="A754" s="3"/>
      <c r="B754" s="3"/>
      <c r="C754" s="3"/>
      <c r="D754" s="3"/>
      <c r="E754" s="3"/>
    </row>
    <row r="755">
      <c r="A755" s="3"/>
      <c r="B755" s="3"/>
      <c r="C755" s="3"/>
      <c r="D755" s="3"/>
      <c r="E755" s="3"/>
    </row>
    <row r="756">
      <c r="A756" s="3"/>
      <c r="B756" s="3"/>
      <c r="C756" s="3"/>
      <c r="D756" s="3"/>
      <c r="E756" s="3"/>
    </row>
    <row r="757">
      <c r="A757" s="3"/>
      <c r="B757" s="3"/>
      <c r="C757" s="3"/>
      <c r="D757" s="3"/>
      <c r="E757" s="3"/>
    </row>
    <row r="758">
      <c r="A758" s="3"/>
      <c r="B758" s="3"/>
      <c r="C758" s="3"/>
      <c r="D758" s="3"/>
      <c r="E758" s="3"/>
    </row>
    <row r="759">
      <c r="A759" s="3"/>
      <c r="B759" s="3"/>
      <c r="C759" s="3"/>
      <c r="D759" s="3"/>
      <c r="E759" s="3"/>
    </row>
    <row r="760">
      <c r="A760" s="3"/>
      <c r="B760" s="3"/>
      <c r="C760" s="3"/>
      <c r="D760" s="3"/>
      <c r="E760" s="3"/>
    </row>
    <row r="761">
      <c r="A761" s="3"/>
      <c r="B761" s="3"/>
      <c r="C761" s="3"/>
      <c r="D761" s="3"/>
      <c r="E761" s="3"/>
    </row>
    <row r="762">
      <c r="A762" s="3"/>
      <c r="B762" s="3"/>
      <c r="C762" s="3"/>
      <c r="D762" s="3"/>
      <c r="E762" s="3"/>
    </row>
    <row r="763">
      <c r="A763" s="3"/>
      <c r="B763" s="3"/>
      <c r="C763" s="3"/>
      <c r="D763" s="3"/>
      <c r="E763" s="3"/>
    </row>
    <row r="764">
      <c r="A764" s="3"/>
      <c r="B764" s="3"/>
      <c r="C764" s="3"/>
      <c r="D764" s="3"/>
      <c r="E764" s="3"/>
    </row>
    <row r="765">
      <c r="A765" s="3"/>
      <c r="B765" s="3"/>
      <c r="C765" s="3"/>
      <c r="D765" s="3"/>
      <c r="E765" s="3"/>
    </row>
    <row r="766">
      <c r="A766" s="3"/>
      <c r="B766" s="3"/>
      <c r="C766" s="3"/>
      <c r="D766" s="3"/>
      <c r="E766" s="3"/>
    </row>
    <row r="767">
      <c r="A767" s="3"/>
      <c r="B767" s="3"/>
      <c r="C767" s="3"/>
      <c r="D767" s="3"/>
      <c r="E767" s="3"/>
    </row>
    <row r="768">
      <c r="A768" s="3"/>
      <c r="B768" s="3"/>
      <c r="C768" s="3"/>
      <c r="D768" s="3"/>
      <c r="E768" s="3"/>
    </row>
    <row r="769">
      <c r="A769" s="3"/>
      <c r="B769" s="3"/>
      <c r="C769" s="3"/>
      <c r="D769" s="3"/>
      <c r="E769" s="3"/>
    </row>
    <row r="770">
      <c r="A770" s="3"/>
      <c r="B770" s="3"/>
      <c r="C770" s="3"/>
      <c r="D770" s="3"/>
      <c r="E770" s="3"/>
    </row>
    <row r="771">
      <c r="A771" s="3"/>
      <c r="B771" s="3"/>
      <c r="C771" s="3"/>
      <c r="D771" s="3"/>
      <c r="E771" s="3"/>
    </row>
    <row r="772">
      <c r="A772" s="3"/>
      <c r="B772" s="3"/>
      <c r="C772" s="3"/>
      <c r="D772" s="3"/>
      <c r="E772" s="3"/>
    </row>
    <row r="773">
      <c r="A773" s="3"/>
      <c r="B773" s="3"/>
      <c r="C773" s="3"/>
      <c r="D773" s="3"/>
      <c r="E773" s="3"/>
    </row>
    <row r="774">
      <c r="A774" s="3"/>
      <c r="B774" s="3"/>
      <c r="C774" s="3"/>
      <c r="D774" s="3"/>
      <c r="E774" s="3"/>
    </row>
    <row r="775">
      <c r="A775" s="3"/>
      <c r="B775" s="3"/>
      <c r="C775" s="3"/>
      <c r="D775" s="3"/>
      <c r="E775" s="3"/>
    </row>
    <row r="776">
      <c r="A776" s="3"/>
      <c r="B776" s="3"/>
      <c r="C776" s="3"/>
      <c r="D776" s="3"/>
      <c r="E776" s="3"/>
    </row>
    <row r="777">
      <c r="A777" s="3"/>
      <c r="B777" s="3"/>
      <c r="C777" s="3"/>
      <c r="D777" s="3"/>
      <c r="E777" s="3"/>
    </row>
    <row r="778">
      <c r="A778" s="3"/>
      <c r="B778" s="3"/>
      <c r="C778" s="3"/>
      <c r="D778" s="3"/>
      <c r="E778" s="3"/>
    </row>
    <row r="779">
      <c r="A779" s="3"/>
      <c r="B779" s="3"/>
      <c r="C779" s="3"/>
      <c r="D779" s="3"/>
      <c r="E779" s="3"/>
    </row>
    <row r="780">
      <c r="A780" s="3"/>
      <c r="B780" s="3"/>
      <c r="C780" s="3"/>
      <c r="D780" s="3"/>
      <c r="E780" s="3"/>
    </row>
    <row r="781">
      <c r="A781" s="3"/>
      <c r="B781" s="3"/>
      <c r="C781" s="3"/>
      <c r="D781" s="3"/>
      <c r="E781" s="3"/>
    </row>
    <row r="782">
      <c r="A782" s="3"/>
      <c r="B782" s="3"/>
      <c r="C782" s="3"/>
      <c r="D782" s="3"/>
      <c r="E782" s="3"/>
    </row>
    <row r="783">
      <c r="A783" s="3"/>
      <c r="B783" s="3"/>
      <c r="C783" s="3"/>
      <c r="D783" s="3"/>
      <c r="E783" s="3"/>
    </row>
    <row r="784">
      <c r="A784" s="3"/>
      <c r="B784" s="3"/>
      <c r="C784" s="3"/>
      <c r="D784" s="3"/>
      <c r="E784" s="3"/>
    </row>
    <row r="785">
      <c r="A785" s="3"/>
      <c r="B785" s="3"/>
      <c r="C785" s="3"/>
      <c r="D785" s="3"/>
      <c r="E785" s="3"/>
    </row>
    <row r="786">
      <c r="A786" s="3"/>
      <c r="B786" s="3"/>
      <c r="C786" s="3"/>
      <c r="D786" s="3"/>
      <c r="E786" s="3"/>
    </row>
    <row r="787">
      <c r="A787" s="3"/>
      <c r="B787" s="3"/>
      <c r="C787" s="3"/>
      <c r="D787" s="3"/>
      <c r="E787" s="3"/>
    </row>
    <row r="788">
      <c r="A788" s="3"/>
      <c r="B788" s="3"/>
      <c r="C788" s="3"/>
      <c r="D788" s="3"/>
      <c r="E788" s="3"/>
    </row>
    <row r="789">
      <c r="A789" s="3"/>
      <c r="B789" s="3"/>
      <c r="C789" s="3"/>
      <c r="D789" s="3"/>
      <c r="E789" s="3"/>
    </row>
    <row r="790">
      <c r="A790" s="3"/>
      <c r="B790" s="3"/>
      <c r="C790" s="3"/>
      <c r="D790" s="3"/>
      <c r="E790" s="3"/>
    </row>
    <row r="791">
      <c r="A791" s="3"/>
      <c r="B791" s="3"/>
      <c r="C791" s="3"/>
      <c r="D791" s="3"/>
      <c r="E791" s="3"/>
    </row>
    <row r="792">
      <c r="A792" s="3"/>
      <c r="B792" s="3"/>
      <c r="C792" s="3"/>
      <c r="D792" s="3"/>
      <c r="E792" s="3"/>
    </row>
    <row r="793">
      <c r="A793" s="3"/>
      <c r="B793" s="3"/>
      <c r="C793" s="3"/>
      <c r="D793" s="3"/>
      <c r="E793" s="3"/>
    </row>
    <row r="794">
      <c r="A794" s="3"/>
      <c r="B794" s="3"/>
      <c r="C794" s="3"/>
      <c r="D794" s="3"/>
      <c r="E794" s="3"/>
    </row>
    <row r="795">
      <c r="A795" s="3"/>
      <c r="B795" s="3"/>
      <c r="C795" s="3"/>
      <c r="D795" s="3"/>
      <c r="E795" s="3"/>
    </row>
    <row r="796">
      <c r="A796" s="3"/>
      <c r="B796" s="3"/>
      <c r="C796" s="3"/>
      <c r="D796" s="3"/>
      <c r="E796" s="3"/>
    </row>
    <row r="797">
      <c r="A797" s="3"/>
      <c r="B797" s="3"/>
      <c r="C797" s="3"/>
      <c r="D797" s="3"/>
      <c r="E797" s="3"/>
    </row>
    <row r="798">
      <c r="A798" s="3"/>
      <c r="B798" s="3"/>
      <c r="C798" s="3"/>
      <c r="D798" s="3"/>
      <c r="E798" s="3"/>
    </row>
    <row r="799">
      <c r="A799" s="3"/>
      <c r="B799" s="3"/>
      <c r="C799" s="3"/>
      <c r="D799" s="3"/>
      <c r="E799" s="3"/>
    </row>
    <row r="800">
      <c r="A800" s="3"/>
      <c r="B800" s="3"/>
      <c r="C800" s="3"/>
      <c r="D800" s="3"/>
      <c r="E800" s="3"/>
    </row>
    <row r="801">
      <c r="A801" s="3"/>
      <c r="B801" s="3"/>
      <c r="C801" s="3"/>
      <c r="D801" s="3"/>
      <c r="E801" s="3"/>
    </row>
    <row r="802">
      <c r="A802" s="3"/>
      <c r="B802" s="3"/>
      <c r="C802" s="3"/>
      <c r="D802" s="3"/>
      <c r="E802" s="3"/>
    </row>
    <row r="803">
      <c r="A803" s="3"/>
      <c r="B803" s="3"/>
      <c r="C803" s="3"/>
      <c r="D803" s="3"/>
      <c r="E803" s="3"/>
    </row>
    <row r="804">
      <c r="A804" s="3"/>
      <c r="B804" s="3"/>
      <c r="C804" s="3"/>
      <c r="D804" s="3"/>
      <c r="E804" s="3"/>
    </row>
    <row r="805">
      <c r="A805" s="3"/>
      <c r="B805" s="3"/>
      <c r="C805" s="3"/>
      <c r="D805" s="3"/>
      <c r="E805" s="3"/>
    </row>
    <row r="806">
      <c r="A806" s="3"/>
      <c r="B806" s="3"/>
      <c r="C806" s="3"/>
      <c r="D806" s="3"/>
      <c r="E806" s="3"/>
    </row>
    <row r="807">
      <c r="A807" s="3"/>
      <c r="B807" s="3"/>
      <c r="C807" s="3"/>
      <c r="D807" s="3"/>
      <c r="E807" s="3"/>
    </row>
    <row r="808">
      <c r="A808" s="3"/>
      <c r="B808" s="3"/>
      <c r="C808" s="3"/>
      <c r="D808" s="3"/>
      <c r="E808" s="3"/>
    </row>
    <row r="809">
      <c r="A809" s="3"/>
      <c r="B809" s="3"/>
      <c r="C809" s="3"/>
      <c r="D809" s="3"/>
      <c r="E809" s="3"/>
    </row>
    <row r="810">
      <c r="A810" s="3"/>
      <c r="B810" s="3"/>
      <c r="C810" s="3"/>
      <c r="D810" s="3"/>
      <c r="E810" s="3"/>
    </row>
    <row r="811">
      <c r="A811" s="3"/>
      <c r="B811" s="3"/>
      <c r="C811" s="3"/>
      <c r="D811" s="3"/>
      <c r="E811" s="3"/>
    </row>
    <row r="812">
      <c r="A812" s="3"/>
      <c r="B812" s="3"/>
      <c r="C812" s="3"/>
      <c r="D812" s="3"/>
      <c r="E812" s="3"/>
    </row>
    <row r="813">
      <c r="A813" s="3"/>
      <c r="B813" s="3"/>
      <c r="C813" s="3"/>
      <c r="D813" s="3"/>
      <c r="E813" s="3"/>
    </row>
    <row r="814">
      <c r="A814" s="3"/>
      <c r="B814" s="3"/>
      <c r="C814" s="3"/>
      <c r="D814" s="3"/>
      <c r="E814" s="3"/>
    </row>
    <row r="815">
      <c r="A815" s="3"/>
      <c r="B815" s="3"/>
      <c r="C815" s="3"/>
      <c r="D815" s="3"/>
      <c r="E815" s="3"/>
    </row>
    <row r="816">
      <c r="A816" s="3"/>
      <c r="B816" s="3"/>
      <c r="C816" s="3"/>
      <c r="D816" s="3"/>
      <c r="E816" s="3"/>
    </row>
    <row r="817">
      <c r="A817" s="3"/>
      <c r="B817" s="3"/>
      <c r="C817" s="3"/>
      <c r="D817" s="3"/>
      <c r="E817" s="3"/>
    </row>
    <row r="818">
      <c r="A818" s="3"/>
      <c r="B818" s="3"/>
      <c r="C818" s="3"/>
      <c r="D818" s="3"/>
      <c r="E818" s="3"/>
    </row>
    <row r="819">
      <c r="A819" s="3"/>
      <c r="B819" s="3"/>
      <c r="C819" s="3"/>
      <c r="D819" s="3"/>
      <c r="E819" s="3"/>
    </row>
    <row r="820">
      <c r="A820" s="3"/>
      <c r="B820" s="3"/>
      <c r="C820" s="3"/>
      <c r="D820" s="3"/>
      <c r="E820" s="3"/>
    </row>
    <row r="821">
      <c r="A821" s="3"/>
      <c r="B821" s="3"/>
      <c r="C821" s="3"/>
      <c r="D821" s="3"/>
      <c r="E821" s="3"/>
    </row>
    <row r="822">
      <c r="A822" s="3"/>
      <c r="B822" s="3"/>
      <c r="C822" s="3"/>
      <c r="D822" s="3"/>
      <c r="E822" s="3"/>
    </row>
    <row r="823">
      <c r="A823" s="3"/>
      <c r="B823" s="3"/>
      <c r="C823" s="3"/>
      <c r="D823" s="3"/>
      <c r="E823" s="3"/>
    </row>
    <row r="824">
      <c r="A824" s="3"/>
      <c r="B824" s="3"/>
      <c r="C824" s="3"/>
      <c r="D824" s="3"/>
      <c r="E824" s="3"/>
    </row>
    <row r="825">
      <c r="A825" s="3"/>
      <c r="B825" s="3"/>
      <c r="C825" s="3"/>
      <c r="D825" s="3"/>
      <c r="E825" s="3"/>
    </row>
    <row r="826">
      <c r="A826" s="3"/>
      <c r="B826" s="3"/>
      <c r="C826" s="3"/>
      <c r="D826" s="3"/>
      <c r="E826" s="3"/>
    </row>
    <row r="827">
      <c r="A827" s="3"/>
      <c r="B827" s="3"/>
      <c r="C827" s="3"/>
      <c r="D827" s="3"/>
      <c r="E827" s="3"/>
    </row>
    <row r="828">
      <c r="A828" s="3"/>
      <c r="B828" s="3"/>
      <c r="C828" s="3"/>
      <c r="D828" s="3"/>
      <c r="E828" s="3"/>
    </row>
    <row r="829">
      <c r="A829" s="3"/>
      <c r="B829" s="3"/>
      <c r="C829" s="3"/>
      <c r="D829" s="3"/>
      <c r="E829" s="3"/>
    </row>
    <row r="830">
      <c r="A830" s="3"/>
      <c r="B830" s="3"/>
      <c r="C830" s="3"/>
      <c r="D830" s="3"/>
      <c r="E830" s="3"/>
    </row>
    <row r="831">
      <c r="A831" s="3"/>
      <c r="B831" s="3"/>
      <c r="C831" s="3"/>
      <c r="D831" s="3"/>
      <c r="E831" s="3"/>
    </row>
    <row r="832">
      <c r="A832" s="3"/>
      <c r="B832" s="3"/>
      <c r="C832" s="3"/>
      <c r="D832" s="3"/>
      <c r="E832" s="3"/>
    </row>
    <row r="833">
      <c r="A833" s="3"/>
      <c r="B833" s="3"/>
      <c r="C833" s="3"/>
      <c r="D833" s="3"/>
      <c r="E833" s="3"/>
    </row>
    <row r="834">
      <c r="A834" s="3"/>
      <c r="B834" s="3"/>
      <c r="C834" s="3"/>
      <c r="D834" s="3"/>
      <c r="E834" s="3"/>
    </row>
    <row r="835">
      <c r="A835" s="3"/>
      <c r="B835" s="3"/>
      <c r="C835" s="3"/>
      <c r="D835" s="3"/>
      <c r="E835" s="3"/>
    </row>
    <row r="836">
      <c r="A836" s="3"/>
      <c r="B836" s="3"/>
      <c r="C836" s="3"/>
      <c r="D836" s="3"/>
      <c r="E836" s="3"/>
    </row>
    <row r="837">
      <c r="A837" s="3"/>
      <c r="B837" s="3"/>
      <c r="C837" s="3"/>
      <c r="D837" s="3"/>
      <c r="E837" s="3"/>
    </row>
    <row r="838">
      <c r="A838" s="3"/>
      <c r="B838" s="3"/>
      <c r="C838" s="3"/>
      <c r="D838" s="3"/>
      <c r="E838" s="3"/>
    </row>
    <row r="839">
      <c r="A839" s="3"/>
      <c r="B839" s="3"/>
      <c r="C839" s="3"/>
      <c r="D839" s="3"/>
      <c r="E839" s="3"/>
    </row>
    <row r="840">
      <c r="A840" s="3"/>
      <c r="B840" s="3"/>
      <c r="C840" s="3"/>
      <c r="D840" s="3"/>
      <c r="E840" s="3"/>
    </row>
    <row r="841">
      <c r="A841" s="3"/>
      <c r="B841" s="3"/>
      <c r="C841" s="3"/>
      <c r="D841" s="3"/>
      <c r="E841" s="3"/>
    </row>
    <row r="842">
      <c r="A842" s="3"/>
      <c r="B842" s="3"/>
      <c r="C842" s="3"/>
      <c r="D842" s="3"/>
      <c r="E842" s="3"/>
    </row>
    <row r="843">
      <c r="A843" s="3"/>
      <c r="B843" s="3"/>
      <c r="C843" s="3"/>
      <c r="D843" s="3"/>
      <c r="E843" s="3"/>
    </row>
    <row r="844">
      <c r="A844" s="3"/>
      <c r="B844" s="3"/>
      <c r="C844" s="3"/>
      <c r="D844" s="3"/>
      <c r="E844" s="3"/>
    </row>
    <row r="845">
      <c r="A845" s="3"/>
      <c r="B845" s="3"/>
      <c r="C845" s="3"/>
      <c r="D845" s="3"/>
      <c r="E845" s="3"/>
    </row>
    <row r="846">
      <c r="A846" s="3"/>
      <c r="B846" s="3"/>
      <c r="C846" s="3"/>
      <c r="D846" s="3"/>
      <c r="E846" s="3"/>
    </row>
    <row r="847">
      <c r="A847" s="3"/>
      <c r="B847" s="3"/>
      <c r="C847" s="3"/>
      <c r="D847" s="3"/>
      <c r="E847" s="3"/>
    </row>
    <row r="848">
      <c r="A848" s="3"/>
      <c r="B848" s="3"/>
      <c r="C848" s="3"/>
      <c r="D848" s="3"/>
      <c r="E848" s="3"/>
    </row>
    <row r="849">
      <c r="A849" s="3"/>
      <c r="B849" s="3"/>
      <c r="C849" s="3"/>
      <c r="D849" s="3"/>
      <c r="E849" s="3"/>
    </row>
    <row r="850">
      <c r="A850" s="3"/>
      <c r="B850" s="3"/>
      <c r="C850" s="3"/>
      <c r="D850" s="3"/>
      <c r="E850" s="3"/>
    </row>
    <row r="851">
      <c r="A851" s="3"/>
      <c r="B851" s="3"/>
      <c r="C851" s="3"/>
      <c r="D851" s="3"/>
      <c r="E851" s="3"/>
    </row>
    <row r="852">
      <c r="A852" s="3"/>
      <c r="B852" s="3"/>
      <c r="C852" s="3"/>
      <c r="D852" s="3"/>
      <c r="E852" s="3"/>
    </row>
    <row r="853">
      <c r="A853" s="3"/>
      <c r="B853" s="3"/>
      <c r="C853" s="3"/>
      <c r="D853" s="3"/>
      <c r="E853" s="3"/>
    </row>
    <row r="854">
      <c r="A854" s="3"/>
      <c r="B854" s="3"/>
      <c r="C854" s="3"/>
      <c r="D854" s="3"/>
      <c r="E854" s="3"/>
    </row>
    <row r="855">
      <c r="A855" s="3"/>
      <c r="B855" s="3"/>
      <c r="C855" s="3"/>
      <c r="D855" s="3"/>
      <c r="E855" s="3"/>
    </row>
    <row r="856">
      <c r="A856" s="3"/>
      <c r="B856" s="3"/>
      <c r="C856" s="3"/>
      <c r="D856" s="3"/>
      <c r="E856" s="3"/>
    </row>
    <row r="857">
      <c r="A857" s="3"/>
      <c r="B857" s="3"/>
      <c r="C857" s="3"/>
      <c r="D857" s="3"/>
      <c r="E857" s="3"/>
    </row>
    <row r="858">
      <c r="A858" s="3"/>
      <c r="B858" s="3"/>
      <c r="C858" s="3"/>
      <c r="D858" s="3"/>
      <c r="E858" s="3"/>
    </row>
    <row r="859">
      <c r="A859" s="3"/>
      <c r="B859" s="3"/>
      <c r="C859" s="3"/>
      <c r="D859" s="3"/>
      <c r="E859" s="3"/>
    </row>
    <row r="860">
      <c r="A860" s="3"/>
      <c r="B860" s="3"/>
      <c r="C860" s="3"/>
      <c r="D860" s="3"/>
      <c r="E860" s="3"/>
    </row>
    <row r="861">
      <c r="A861" s="3"/>
      <c r="B861" s="3"/>
      <c r="C861" s="3"/>
      <c r="D861" s="3"/>
      <c r="E861" s="3"/>
    </row>
    <row r="862">
      <c r="A862" s="3"/>
      <c r="B862" s="3"/>
      <c r="C862" s="3"/>
      <c r="D862" s="3"/>
      <c r="E862" s="3"/>
    </row>
    <row r="863">
      <c r="A863" s="3"/>
      <c r="B863" s="3"/>
      <c r="C863" s="3"/>
      <c r="D863" s="3"/>
      <c r="E863" s="3"/>
    </row>
    <row r="864">
      <c r="A864" s="3"/>
      <c r="B864" s="3"/>
      <c r="C864" s="3"/>
      <c r="D864" s="3"/>
      <c r="E864" s="3"/>
    </row>
    <row r="865">
      <c r="A865" s="3"/>
      <c r="B865" s="3"/>
      <c r="C865" s="3"/>
      <c r="D865" s="3"/>
      <c r="E865" s="3"/>
    </row>
    <row r="866">
      <c r="A866" s="3"/>
      <c r="B866" s="3"/>
      <c r="C866" s="3"/>
      <c r="D866" s="3"/>
      <c r="E866" s="3"/>
    </row>
    <row r="867">
      <c r="A867" s="3"/>
      <c r="B867" s="3"/>
      <c r="C867" s="3"/>
      <c r="D867" s="3"/>
      <c r="E867" s="3"/>
    </row>
    <row r="868">
      <c r="A868" s="3"/>
      <c r="B868" s="3"/>
      <c r="C868" s="3"/>
      <c r="D868" s="3"/>
      <c r="E868" s="3"/>
    </row>
    <row r="869">
      <c r="A869" s="3"/>
      <c r="B869" s="3"/>
      <c r="C869" s="3"/>
      <c r="D869" s="3"/>
      <c r="E869" s="3"/>
    </row>
    <row r="870">
      <c r="A870" s="3"/>
      <c r="B870" s="3"/>
      <c r="C870" s="3"/>
      <c r="D870" s="3"/>
      <c r="E870" s="3"/>
    </row>
    <row r="871">
      <c r="A871" s="3"/>
      <c r="B871" s="3"/>
      <c r="C871" s="3"/>
      <c r="D871" s="3"/>
      <c r="E871" s="3"/>
    </row>
    <row r="872">
      <c r="A872" s="3"/>
      <c r="B872" s="3"/>
      <c r="C872" s="3"/>
      <c r="D872" s="3"/>
      <c r="E872" s="3"/>
    </row>
    <row r="873">
      <c r="A873" s="3"/>
      <c r="B873" s="3"/>
      <c r="C873" s="3"/>
      <c r="D873" s="3"/>
      <c r="E873" s="3"/>
    </row>
    <row r="874">
      <c r="A874" s="3"/>
      <c r="B874" s="3"/>
      <c r="C874" s="3"/>
      <c r="D874" s="3"/>
      <c r="E874" s="3"/>
    </row>
    <row r="875">
      <c r="A875" s="3"/>
      <c r="B875" s="3"/>
      <c r="C875" s="3"/>
      <c r="D875" s="3"/>
      <c r="E875" s="3"/>
    </row>
    <row r="876">
      <c r="A876" s="3"/>
      <c r="B876" s="3"/>
      <c r="C876" s="3"/>
      <c r="D876" s="3"/>
      <c r="E876" s="3"/>
    </row>
    <row r="877">
      <c r="A877" s="3"/>
      <c r="B877" s="3"/>
      <c r="C877" s="3"/>
      <c r="D877" s="3"/>
      <c r="E877" s="3"/>
    </row>
    <row r="878">
      <c r="A878" s="3"/>
      <c r="B878" s="3"/>
      <c r="C878" s="3"/>
      <c r="D878" s="3"/>
      <c r="E878" s="3"/>
    </row>
    <row r="879">
      <c r="A879" s="3"/>
      <c r="B879" s="3"/>
      <c r="C879" s="3"/>
      <c r="D879" s="3"/>
      <c r="E879" s="3"/>
    </row>
    <row r="880">
      <c r="A880" s="3"/>
      <c r="B880" s="3"/>
      <c r="C880" s="3"/>
      <c r="D880" s="3"/>
      <c r="E880" s="3"/>
    </row>
    <row r="881">
      <c r="A881" s="3"/>
      <c r="B881" s="3"/>
      <c r="C881" s="3"/>
      <c r="D881" s="3"/>
      <c r="E881" s="3"/>
    </row>
    <row r="882">
      <c r="A882" s="3"/>
      <c r="B882" s="3"/>
      <c r="C882" s="3"/>
      <c r="D882" s="3"/>
      <c r="E882" s="3"/>
    </row>
    <row r="883">
      <c r="A883" s="3"/>
      <c r="B883" s="3"/>
      <c r="C883" s="3"/>
      <c r="D883" s="3"/>
      <c r="E883" s="3"/>
    </row>
    <row r="884">
      <c r="A884" s="3"/>
      <c r="B884" s="3"/>
      <c r="C884" s="3"/>
      <c r="D884" s="3"/>
      <c r="E884" s="3"/>
    </row>
    <row r="885">
      <c r="A885" s="3"/>
      <c r="B885" s="3"/>
      <c r="C885" s="3"/>
      <c r="D885" s="3"/>
      <c r="E885" s="3"/>
    </row>
    <row r="886">
      <c r="A886" s="3"/>
      <c r="B886" s="3"/>
      <c r="C886" s="3"/>
      <c r="D886" s="3"/>
      <c r="E886" s="3"/>
    </row>
    <row r="887">
      <c r="A887" s="3"/>
      <c r="B887" s="3"/>
      <c r="C887" s="3"/>
      <c r="D887" s="3"/>
      <c r="E887" s="3"/>
    </row>
    <row r="888">
      <c r="A888" s="3"/>
      <c r="B888" s="3"/>
      <c r="C888" s="3"/>
      <c r="D888" s="3"/>
      <c r="E888" s="3"/>
    </row>
    <row r="889">
      <c r="A889" s="3"/>
      <c r="B889" s="3"/>
      <c r="C889" s="3"/>
      <c r="D889" s="3"/>
      <c r="E889" s="3"/>
    </row>
    <row r="890">
      <c r="A890" s="3"/>
      <c r="B890" s="3"/>
      <c r="C890" s="3"/>
      <c r="D890" s="3"/>
      <c r="E890" s="3"/>
    </row>
    <row r="891">
      <c r="A891" s="3"/>
      <c r="B891" s="3"/>
      <c r="C891" s="3"/>
      <c r="D891" s="3"/>
      <c r="E891" s="3"/>
    </row>
    <row r="892">
      <c r="A892" s="3"/>
      <c r="B892" s="3"/>
      <c r="C892" s="3"/>
      <c r="D892" s="3"/>
      <c r="E892" s="3"/>
    </row>
    <row r="893">
      <c r="A893" s="3"/>
      <c r="B893" s="3"/>
      <c r="C893" s="3"/>
      <c r="D893" s="3"/>
      <c r="E893" s="3"/>
    </row>
    <row r="894">
      <c r="A894" s="3"/>
      <c r="B894" s="3"/>
      <c r="C894" s="3"/>
      <c r="D894" s="3"/>
      <c r="E894" s="3"/>
    </row>
    <row r="895">
      <c r="A895" s="3"/>
      <c r="B895" s="3"/>
      <c r="C895" s="3"/>
      <c r="D895" s="3"/>
      <c r="E895" s="3"/>
    </row>
    <row r="896">
      <c r="A896" s="3"/>
      <c r="B896" s="3"/>
      <c r="C896" s="3"/>
      <c r="D896" s="3"/>
      <c r="E896" s="3"/>
    </row>
    <row r="897">
      <c r="A897" s="3"/>
      <c r="B897" s="3"/>
      <c r="C897" s="3"/>
      <c r="D897" s="3"/>
      <c r="E897" s="3"/>
    </row>
    <row r="898">
      <c r="A898" s="3"/>
      <c r="B898" s="3"/>
      <c r="C898" s="3"/>
      <c r="D898" s="3"/>
      <c r="E898" s="3"/>
    </row>
    <row r="899">
      <c r="A899" s="3"/>
      <c r="B899" s="3"/>
      <c r="C899" s="3"/>
      <c r="D899" s="3"/>
      <c r="E899" s="3"/>
    </row>
    <row r="900">
      <c r="A900" s="3"/>
      <c r="B900" s="3"/>
      <c r="C900" s="3"/>
      <c r="D900" s="3"/>
      <c r="E900" s="3"/>
    </row>
    <row r="901">
      <c r="A901" s="3"/>
      <c r="B901" s="3"/>
      <c r="C901" s="3"/>
      <c r="D901" s="3"/>
      <c r="E901" s="3"/>
    </row>
    <row r="902">
      <c r="A902" s="3"/>
      <c r="B902" s="3"/>
      <c r="C902" s="3"/>
      <c r="D902" s="3"/>
      <c r="E902" s="3"/>
    </row>
    <row r="903">
      <c r="A903" s="3"/>
      <c r="B903" s="3"/>
      <c r="C903" s="3"/>
      <c r="D903" s="3"/>
      <c r="E903" s="3"/>
    </row>
    <row r="904">
      <c r="A904" s="3"/>
      <c r="B904" s="3"/>
      <c r="C904" s="3"/>
      <c r="D904" s="3"/>
      <c r="E904" s="3"/>
    </row>
    <row r="905">
      <c r="A905" s="3"/>
      <c r="B905" s="3"/>
      <c r="C905" s="3"/>
      <c r="D905" s="3"/>
      <c r="E905" s="3"/>
    </row>
    <row r="906">
      <c r="A906" s="3"/>
      <c r="B906" s="3"/>
      <c r="C906" s="3"/>
      <c r="D906" s="3"/>
      <c r="E906" s="3"/>
    </row>
    <row r="907">
      <c r="A907" s="3"/>
      <c r="B907" s="3"/>
      <c r="C907" s="3"/>
      <c r="D907" s="3"/>
      <c r="E907" s="3"/>
    </row>
    <row r="908">
      <c r="A908" s="3"/>
      <c r="B908" s="3"/>
      <c r="C908" s="3"/>
      <c r="D908" s="3"/>
      <c r="E908" s="3"/>
    </row>
    <row r="909">
      <c r="A909" s="3"/>
      <c r="B909" s="3"/>
      <c r="C909" s="3"/>
      <c r="D909" s="3"/>
      <c r="E909" s="3"/>
    </row>
    <row r="910">
      <c r="A910" s="3"/>
      <c r="B910" s="3"/>
      <c r="C910" s="3"/>
      <c r="D910" s="3"/>
      <c r="E910" s="3"/>
    </row>
    <row r="911">
      <c r="A911" s="3"/>
      <c r="B911" s="3"/>
      <c r="C911" s="3"/>
      <c r="D911" s="3"/>
      <c r="E911" s="3"/>
    </row>
    <row r="912">
      <c r="A912" s="3"/>
      <c r="B912" s="3"/>
      <c r="C912" s="3"/>
      <c r="D912" s="3"/>
      <c r="E912" s="3"/>
    </row>
    <row r="913">
      <c r="A913" s="3"/>
      <c r="B913" s="3"/>
      <c r="C913" s="3"/>
      <c r="D913" s="3"/>
      <c r="E913" s="3"/>
    </row>
    <row r="914">
      <c r="A914" s="3"/>
      <c r="B914" s="3"/>
      <c r="C914" s="3"/>
      <c r="D914" s="3"/>
      <c r="E914" s="3"/>
    </row>
    <row r="915">
      <c r="A915" s="3"/>
      <c r="B915" s="3"/>
      <c r="C915" s="3"/>
      <c r="D915" s="3"/>
      <c r="E915" s="3"/>
    </row>
    <row r="916">
      <c r="A916" s="3"/>
      <c r="B916" s="3"/>
      <c r="C916" s="3"/>
      <c r="D916" s="3"/>
      <c r="E916" s="3"/>
    </row>
    <row r="917">
      <c r="A917" s="3"/>
      <c r="B917" s="3"/>
      <c r="C917" s="3"/>
      <c r="D917" s="3"/>
      <c r="E917" s="3"/>
    </row>
    <row r="918">
      <c r="A918" s="3"/>
      <c r="B918" s="3"/>
      <c r="C918" s="3"/>
      <c r="D918" s="3"/>
      <c r="E918" s="3"/>
    </row>
    <row r="919">
      <c r="A919" s="3"/>
      <c r="B919" s="3"/>
      <c r="C919" s="3"/>
      <c r="D919" s="3"/>
      <c r="E919" s="3"/>
    </row>
    <row r="920">
      <c r="A920" s="3"/>
      <c r="B920" s="3"/>
      <c r="C920" s="3"/>
      <c r="D920" s="3"/>
      <c r="E920" s="3"/>
    </row>
    <row r="921">
      <c r="A921" s="3"/>
      <c r="B921" s="3"/>
      <c r="C921" s="3"/>
      <c r="D921" s="3"/>
      <c r="E921" s="3"/>
    </row>
    <row r="922">
      <c r="A922" s="3"/>
      <c r="B922" s="3"/>
      <c r="C922" s="3"/>
      <c r="D922" s="3"/>
      <c r="E922" s="3"/>
    </row>
    <row r="923">
      <c r="A923" s="3"/>
      <c r="B923" s="3"/>
      <c r="C923" s="3"/>
      <c r="D923" s="3"/>
      <c r="E923" s="3"/>
    </row>
    <row r="924">
      <c r="A924" s="3"/>
      <c r="B924" s="3"/>
      <c r="C924" s="3"/>
      <c r="D924" s="3"/>
      <c r="E924" s="3"/>
    </row>
    <row r="925">
      <c r="A925" s="3"/>
      <c r="B925" s="3"/>
      <c r="C925" s="3"/>
      <c r="D925" s="3"/>
      <c r="E925" s="3"/>
    </row>
    <row r="926">
      <c r="A926" s="3"/>
      <c r="B926" s="3"/>
      <c r="C926" s="3"/>
      <c r="D926" s="3"/>
      <c r="E926" s="3"/>
    </row>
    <row r="927">
      <c r="A927" s="3"/>
      <c r="B927" s="3"/>
      <c r="C927" s="3"/>
      <c r="D927" s="3"/>
      <c r="E927" s="3"/>
    </row>
    <row r="928">
      <c r="A928" s="3"/>
      <c r="B928" s="3"/>
      <c r="C928" s="3"/>
      <c r="D928" s="3"/>
      <c r="E928" s="3"/>
    </row>
    <row r="929">
      <c r="A929" s="3"/>
      <c r="B929" s="3"/>
      <c r="C929" s="3"/>
      <c r="D929" s="3"/>
      <c r="E929" s="3"/>
    </row>
    <row r="930">
      <c r="A930" s="3"/>
      <c r="B930" s="3"/>
      <c r="C930" s="3"/>
      <c r="D930" s="3"/>
      <c r="E930" s="3"/>
    </row>
    <row r="931">
      <c r="A931" s="3"/>
      <c r="B931" s="3"/>
      <c r="C931" s="3"/>
      <c r="D931" s="3"/>
      <c r="E931" s="3"/>
    </row>
    <row r="932">
      <c r="A932" s="3"/>
      <c r="B932" s="3"/>
      <c r="C932" s="3"/>
      <c r="D932" s="3"/>
      <c r="E932" s="3"/>
    </row>
    <row r="933">
      <c r="A933" s="3"/>
      <c r="B933" s="3"/>
      <c r="C933" s="3"/>
      <c r="D933" s="3"/>
      <c r="E933" s="3"/>
    </row>
    <row r="934">
      <c r="A934" s="3"/>
      <c r="B934" s="3"/>
      <c r="C934" s="3"/>
      <c r="D934" s="3"/>
      <c r="E934" s="3"/>
    </row>
    <row r="935">
      <c r="A935" s="3"/>
      <c r="B935" s="3"/>
      <c r="C935" s="3"/>
      <c r="D935" s="3"/>
      <c r="E935" s="3"/>
    </row>
    <row r="936">
      <c r="A936" s="3"/>
      <c r="B936" s="3"/>
      <c r="C936" s="3"/>
      <c r="D936" s="3"/>
      <c r="E936" s="3"/>
    </row>
    <row r="937">
      <c r="A937" s="3"/>
      <c r="B937" s="3"/>
      <c r="C937" s="3"/>
      <c r="D937" s="3"/>
      <c r="E937" s="3"/>
    </row>
    <row r="938">
      <c r="A938" s="3"/>
      <c r="B938" s="3"/>
      <c r="C938" s="3"/>
      <c r="D938" s="3"/>
      <c r="E938" s="3"/>
    </row>
    <row r="939">
      <c r="A939" s="3"/>
      <c r="B939" s="3"/>
      <c r="C939" s="3"/>
      <c r="D939" s="3"/>
      <c r="E939" s="3"/>
    </row>
    <row r="940">
      <c r="A940" s="3"/>
      <c r="B940" s="3"/>
      <c r="C940" s="3"/>
      <c r="D940" s="3"/>
      <c r="E940" s="3"/>
    </row>
    <row r="941">
      <c r="A941" s="3"/>
      <c r="B941" s="3"/>
      <c r="C941" s="3"/>
      <c r="D941" s="3"/>
      <c r="E941" s="3"/>
    </row>
    <row r="942">
      <c r="A942" s="3"/>
      <c r="B942" s="3"/>
      <c r="C942" s="3"/>
      <c r="D942" s="3"/>
      <c r="E942" s="3"/>
    </row>
    <row r="943">
      <c r="A943" s="3"/>
      <c r="B943" s="3"/>
      <c r="C943" s="3"/>
      <c r="D943" s="3"/>
      <c r="E943" s="3"/>
    </row>
    <row r="944">
      <c r="A944" s="3"/>
      <c r="B944" s="3"/>
      <c r="C944" s="3"/>
      <c r="D944" s="3"/>
      <c r="E944" s="3"/>
    </row>
    <row r="945">
      <c r="A945" s="3"/>
      <c r="B945" s="3"/>
      <c r="C945" s="3"/>
      <c r="D945" s="3"/>
      <c r="E945" s="3"/>
    </row>
    <row r="946">
      <c r="A946" s="3"/>
      <c r="B946" s="3"/>
      <c r="C946" s="3"/>
      <c r="D946" s="3"/>
      <c r="E946" s="3"/>
    </row>
    <row r="947">
      <c r="A947" s="3"/>
      <c r="B947" s="3"/>
      <c r="C947" s="3"/>
      <c r="D947" s="3"/>
      <c r="E947" s="3"/>
    </row>
    <row r="948">
      <c r="A948" s="3"/>
      <c r="B948" s="3"/>
      <c r="C948" s="3"/>
      <c r="D948" s="3"/>
      <c r="E948" s="3"/>
    </row>
    <row r="949">
      <c r="A949" s="3"/>
      <c r="B949" s="3"/>
      <c r="C949" s="3"/>
      <c r="D949" s="3"/>
      <c r="E949" s="3"/>
    </row>
    <row r="950">
      <c r="A950" s="3"/>
      <c r="B950" s="3"/>
      <c r="C950" s="3"/>
      <c r="D950" s="3"/>
      <c r="E950" s="3"/>
    </row>
    <row r="951">
      <c r="A951" s="3"/>
      <c r="B951" s="3"/>
      <c r="C951" s="3"/>
      <c r="D951" s="3"/>
      <c r="E951" s="3"/>
    </row>
    <row r="952">
      <c r="A952" s="3"/>
      <c r="B952" s="3"/>
      <c r="C952" s="3"/>
      <c r="D952" s="3"/>
      <c r="E952" s="3"/>
    </row>
    <row r="953">
      <c r="A953" s="3"/>
      <c r="B953" s="3"/>
      <c r="C953" s="3"/>
      <c r="D953" s="3"/>
      <c r="E953" s="3"/>
    </row>
    <row r="954">
      <c r="A954" s="3"/>
      <c r="B954" s="3"/>
      <c r="C954" s="3"/>
      <c r="D954" s="3"/>
      <c r="E954" s="3"/>
    </row>
    <row r="955">
      <c r="A955" s="3"/>
      <c r="B955" s="3"/>
      <c r="C955" s="3"/>
      <c r="D955" s="3"/>
      <c r="E955" s="3"/>
    </row>
    <row r="956">
      <c r="A956" s="3"/>
      <c r="B956" s="3"/>
      <c r="C956" s="3"/>
      <c r="D956" s="3"/>
      <c r="E956" s="3"/>
    </row>
    <row r="957">
      <c r="A957" s="3"/>
      <c r="B957" s="3"/>
      <c r="C957" s="3"/>
      <c r="D957" s="3"/>
      <c r="E957" s="3"/>
    </row>
    <row r="958">
      <c r="A958" s="3"/>
      <c r="B958" s="3"/>
      <c r="C958" s="3"/>
      <c r="D958" s="3"/>
      <c r="E958" s="3"/>
    </row>
    <row r="959">
      <c r="A959" s="3"/>
      <c r="B959" s="3"/>
      <c r="C959" s="3"/>
      <c r="D959" s="3"/>
      <c r="E959" s="3"/>
    </row>
    <row r="960">
      <c r="A960" s="3"/>
      <c r="B960" s="3"/>
      <c r="C960" s="3"/>
      <c r="D960" s="3"/>
      <c r="E960" s="3"/>
    </row>
    <row r="961">
      <c r="A961" s="3"/>
      <c r="B961" s="3"/>
      <c r="C961" s="3"/>
      <c r="D961" s="3"/>
      <c r="E961" s="3"/>
    </row>
    <row r="962">
      <c r="A962" s="3"/>
      <c r="B962" s="3"/>
      <c r="C962" s="3"/>
      <c r="D962" s="3"/>
      <c r="E962" s="3"/>
    </row>
    <row r="963">
      <c r="A963" s="3"/>
      <c r="B963" s="3"/>
      <c r="C963" s="3"/>
      <c r="D963" s="3"/>
      <c r="E963" s="3"/>
    </row>
    <row r="964">
      <c r="A964" s="3"/>
      <c r="B964" s="3"/>
      <c r="C964" s="3"/>
      <c r="D964" s="3"/>
      <c r="E964" s="3"/>
    </row>
    <row r="965">
      <c r="A965" s="3"/>
      <c r="B965" s="3"/>
      <c r="C965" s="3"/>
      <c r="D965" s="3"/>
      <c r="E965" s="3"/>
    </row>
    <row r="966">
      <c r="A966" s="3"/>
      <c r="B966" s="3"/>
      <c r="C966" s="3"/>
      <c r="D966" s="3"/>
      <c r="E966" s="3"/>
    </row>
    <row r="967">
      <c r="A967" s="3"/>
      <c r="B967" s="3"/>
      <c r="C967" s="3"/>
      <c r="D967" s="3"/>
      <c r="E967" s="3"/>
    </row>
    <row r="968">
      <c r="A968" s="3"/>
      <c r="B968" s="3"/>
      <c r="C968" s="3"/>
      <c r="D968" s="3"/>
      <c r="E968" s="3"/>
    </row>
    <row r="969">
      <c r="A969" s="3"/>
      <c r="B969" s="3"/>
      <c r="C969" s="3"/>
      <c r="D969" s="3"/>
      <c r="E969" s="3"/>
    </row>
    <row r="970">
      <c r="A970" s="3"/>
      <c r="B970" s="3"/>
      <c r="C970" s="3"/>
      <c r="D970" s="3"/>
      <c r="E970" s="3"/>
    </row>
    <row r="971">
      <c r="A971" s="3"/>
      <c r="B971" s="3"/>
      <c r="C971" s="3"/>
      <c r="D971" s="3"/>
      <c r="E971" s="3"/>
    </row>
    <row r="972">
      <c r="A972" s="3"/>
      <c r="B972" s="3"/>
      <c r="C972" s="3"/>
      <c r="D972" s="3"/>
      <c r="E972" s="3"/>
    </row>
    <row r="973">
      <c r="A973" s="3"/>
      <c r="B973" s="3"/>
      <c r="C973" s="3"/>
      <c r="D973" s="3"/>
      <c r="E973" s="3"/>
    </row>
    <row r="974">
      <c r="A974" s="3"/>
      <c r="B974" s="3"/>
      <c r="C974" s="3"/>
      <c r="D974" s="3"/>
      <c r="E974" s="3"/>
    </row>
    <row r="975">
      <c r="A975" s="3"/>
      <c r="B975" s="3"/>
      <c r="C975" s="3"/>
      <c r="D975" s="3"/>
      <c r="E975" s="3"/>
    </row>
    <row r="976">
      <c r="A976" s="3"/>
      <c r="B976" s="3"/>
      <c r="C976" s="3"/>
      <c r="D976" s="3"/>
      <c r="E976" s="3"/>
    </row>
    <row r="977">
      <c r="A977" s="3"/>
      <c r="B977" s="3"/>
      <c r="C977" s="3"/>
      <c r="D977" s="3"/>
      <c r="E977" s="3"/>
    </row>
    <row r="978">
      <c r="A978" s="3"/>
      <c r="B978" s="3"/>
      <c r="C978" s="3"/>
      <c r="D978" s="3"/>
      <c r="E978" s="3"/>
    </row>
    <row r="979">
      <c r="A979" s="3"/>
      <c r="B979" s="3"/>
      <c r="C979" s="3"/>
      <c r="D979" s="3"/>
      <c r="E979" s="3"/>
    </row>
    <row r="980">
      <c r="A980" s="3"/>
      <c r="B980" s="3"/>
      <c r="C980" s="3"/>
      <c r="D980" s="3"/>
      <c r="E980" s="3"/>
    </row>
    <row r="981">
      <c r="A981" s="3"/>
      <c r="B981" s="3"/>
      <c r="C981" s="3"/>
      <c r="D981" s="3"/>
      <c r="E981" s="3"/>
    </row>
    <row r="982">
      <c r="A982" s="3"/>
      <c r="B982" s="3"/>
      <c r="C982" s="3"/>
      <c r="D982" s="3"/>
      <c r="E982" s="3"/>
    </row>
    <row r="983">
      <c r="A983" s="3"/>
      <c r="B983" s="3"/>
      <c r="C983" s="3"/>
      <c r="D983" s="3"/>
      <c r="E983" s="3"/>
    </row>
    <row r="984">
      <c r="A984" s="3"/>
      <c r="B984" s="3"/>
      <c r="C984" s="3"/>
      <c r="D984" s="3"/>
      <c r="E984" s="3"/>
    </row>
    <row r="985">
      <c r="A985" s="3"/>
      <c r="B985" s="3"/>
      <c r="C985" s="3"/>
      <c r="D985" s="3"/>
      <c r="E985" s="3"/>
    </row>
    <row r="986">
      <c r="A986" s="3"/>
      <c r="B986" s="3"/>
      <c r="C986" s="3"/>
      <c r="D986" s="3"/>
      <c r="E986" s="3"/>
    </row>
    <row r="987">
      <c r="A987" s="3"/>
      <c r="B987" s="3"/>
      <c r="C987" s="3"/>
      <c r="D987" s="3"/>
      <c r="E987" s="3"/>
    </row>
    <row r="988">
      <c r="A988" s="3"/>
      <c r="B988" s="3"/>
      <c r="C988" s="3"/>
      <c r="D988" s="3"/>
      <c r="E988" s="3"/>
    </row>
    <row r="989">
      <c r="A989" s="3"/>
      <c r="B989" s="3"/>
      <c r="C989" s="3"/>
      <c r="D989" s="3"/>
      <c r="E989" s="3"/>
    </row>
    <row r="990">
      <c r="A990" s="3"/>
      <c r="B990" s="3"/>
      <c r="C990" s="3"/>
      <c r="D990" s="3"/>
      <c r="E990" s="3"/>
    </row>
    <row r="991">
      <c r="A991" s="3"/>
      <c r="B991" s="3"/>
      <c r="C991" s="3"/>
      <c r="D991" s="3"/>
      <c r="E991" s="3"/>
    </row>
    <row r="992">
      <c r="A992" s="3"/>
      <c r="B992" s="3"/>
      <c r="C992" s="3"/>
      <c r="D992" s="3"/>
      <c r="E992" s="3"/>
    </row>
    <row r="993">
      <c r="A993" s="3"/>
      <c r="B993" s="3"/>
      <c r="C993" s="3"/>
      <c r="D993" s="3"/>
      <c r="E993" s="3"/>
    </row>
    <row r="994">
      <c r="A994" s="3"/>
      <c r="B994" s="3"/>
      <c r="C994" s="3"/>
      <c r="D994" s="3"/>
      <c r="E994" s="3"/>
    </row>
    <row r="995">
      <c r="A995" s="3"/>
      <c r="B995" s="3"/>
      <c r="C995" s="3"/>
      <c r="D995" s="3"/>
      <c r="E995" s="3"/>
    </row>
    <row r="996">
      <c r="A996" s="3"/>
      <c r="B996" s="3"/>
      <c r="C996" s="3"/>
      <c r="D996" s="3"/>
      <c r="E996" s="3"/>
    </row>
    <row r="997">
      <c r="A997" s="3"/>
      <c r="B997" s="3"/>
      <c r="C997" s="3"/>
      <c r="D997" s="3"/>
      <c r="E997" s="3"/>
    </row>
    <row r="998">
      <c r="A998" s="3"/>
      <c r="B998" s="3"/>
      <c r="C998" s="3"/>
      <c r="D998" s="3"/>
      <c r="E998" s="3"/>
    </row>
    <row r="999">
      <c r="A999" s="3"/>
      <c r="B999" s="3"/>
      <c r="C999" s="3"/>
      <c r="D999" s="3"/>
      <c r="E999" s="3"/>
    </row>
    <row r="1000">
      <c r="A1000" s="3"/>
      <c r="B1000" s="3"/>
      <c r="C1000" s="3"/>
      <c r="D1000" s="3"/>
      <c r="E1000" s="3"/>
    </row>
    <row r="1001">
      <c r="A1001" s="3"/>
      <c r="B1001" s="3"/>
      <c r="C1001" s="3"/>
      <c r="D1001" s="3"/>
      <c r="E1001" s="3"/>
    </row>
    <row r="1002">
      <c r="A1002" s="3"/>
      <c r="B1002" s="3"/>
      <c r="C1002" s="3"/>
      <c r="D1002" s="3"/>
      <c r="E1002" s="3"/>
    </row>
    <row r="1003">
      <c r="A1003" s="3"/>
      <c r="B1003" s="3"/>
      <c r="C1003" s="3"/>
      <c r="D1003" s="3"/>
      <c r="E1003" s="3"/>
    </row>
    <row r="1004">
      <c r="A1004" s="3"/>
      <c r="B1004" s="3"/>
      <c r="C1004" s="3"/>
      <c r="D1004" s="3"/>
      <c r="E1004" s="3"/>
    </row>
    <row r="1005">
      <c r="A1005" s="3"/>
      <c r="B1005" s="3"/>
      <c r="C1005" s="3"/>
      <c r="D1005" s="3"/>
      <c r="E1005" s="3"/>
    </row>
    <row r="1006">
      <c r="A1006" s="3"/>
      <c r="B1006" s="3"/>
      <c r="C1006" s="3"/>
      <c r="D1006" s="3"/>
      <c r="E1006" s="3"/>
    </row>
    <row r="1007">
      <c r="A1007" s="3"/>
      <c r="B1007" s="3"/>
      <c r="C1007" s="3"/>
      <c r="D1007" s="3"/>
      <c r="E1007" s="3"/>
    </row>
    <row r="1008">
      <c r="A1008" s="3"/>
      <c r="B1008" s="3"/>
      <c r="C1008" s="3"/>
      <c r="D1008" s="3"/>
      <c r="E1008" s="3"/>
    </row>
    <row r="1009">
      <c r="A1009" s="3"/>
      <c r="B1009" s="3"/>
      <c r="C1009" s="3"/>
      <c r="D1009" s="3"/>
      <c r="E1009" s="3"/>
    </row>
    <row r="1010">
      <c r="A1010" s="3"/>
      <c r="B1010" s="3"/>
      <c r="C1010" s="3"/>
      <c r="D1010" s="3"/>
      <c r="E1010" s="3"/>
    </row>
    <row r="1011">
      <c r="A1011" s="3"/>
      <c r="B1011" s="3"/>
      <c r="C1011" s="3"/>
      <c r="D1011" s="3"/>
      <c r="E1011" s="3"/>
    </row>
    <row r="1012">
      <c r="A1012" s="3"/>
      <c r="B1012" s="3"/>
      <c r="C1012" s="3"/>
      <c r="D1012" s="3"/>
      <c r="E1012" s="3"/>
    </row>
    <row r="1013">
      <c r="A1013" s="3"/>
      <c r="B1013" s="3"/>
      <c r="C1013" s="3"/>
      <c r="D1013" s="3"/>
      <c r="E1013" s="3"/>
    </row>
    <row r="1014">
      <c r="A1014" s="3"/>
      <c r="B1014" s="3"/>
      <c r="C1014" s="3"/>
      <c r="D1014" s="3"/>
      <c r="E1014" s="3"/>
    </row>
    <row r="1015">
      <c r="A1015" s="3"/>
      <c r="B1015" s="3"/>
      <c r="C1015" s="3"/>
      <c r="D1015" s="3"/>
      <c r="E1015" s="3"/>
    </row>
    <row r="1016">
      <c r="A1016" s="3"/>
      <c r="B1016" s="3"/>
      <c r="C1016" s="3"/>
      <c r="D1016" s="3"/>
      <c r="E1016" s="3"/>
    </row>
    <row r="1017">
      <c r="A1017" s="3"/>
      <c r="B1017" s="3"/>
      <c r="C1017" s="3"/>
      <c r="D1017" s="3"/>
      <c r="E1017" s="3"/>
    </row>
    <row r="1018">
      <c r="A1018" s="3"/>
      <c r="B1018" s="3"/>
      <c r="C1018" s="3"/>
      <c r="D1018" s="3"/>
      <c r="E1018" s="3"/>
    </row>
    <row r="1019">
      <c r="A1019" s="3"/>
      <c r="B1019" s="3"/>
      <c r="C1019" s="3"/>
      <c r="D1019" s="3"/>
      <c r="E1019" s="3"/>
    </row>
    <row r="1020">
      <c r="A1020" s="3"/>
      <c r="B1020" s="3"/>
      <c r="C1020" s="3"/>
      <c r="D1020" s="3"/>
      <c r="E1020" s="3"/>
    </row>
    <row r="1021">
      <c r="A1021" s="3"/>
      <c r="B1021" s="3"/>
      <c r="C1021" s="3"/>
      <c r="D1021" s="3"/>
      <c r="E1021" s="3"/>
    </row>
    <row r="1022">
      <c r="A1022" s="3"/>
      <c r="B1022" s="3"/>
      <c r="C1022" s="3"/>
      <c r="D1022" s="3"/>
      <c r="E1022" s="3"/>
    </row>
    <row r="1023">
      <c r="A1023" s="3"/>
      <c r="B1023" s="3"/>
      <c r="C1023" s="3"/>
      <c r="D1023" s="3"/>
      <c r="E1023" s="3"/>
    </row>
    <row r="1024">
      <c r="A1024" s="3"/>
      <c r="B1024" s="3"/>
      <c r="C1024" s="3"/>
      <c r="D1024" s="3"/>
      <c r="E1024" s="3"/>
    </row>
    <row r="1025">
      <c r="A1025" s="3"/>
      <c r="B1025" s="3"/>
      <c r="C1025" s="3"/>
      <c r="D1025" s="3"/>
      <c r="E1025" s="3"/>
    </row>
    <row r="1026">
      <c r="A1026" s="3"/>
      <c r="B1026" s="3"/>
      <c r="C1026" s="3"/>
      <c r="D1026" s="3"/>
      <c r="E1026" s="3"/>
    </row>
    <row r="1027">
      <c r="A1027" s="3"/>
      <c r="B1027" s="3"/>
      <c r="C1027" s="3"/>
      <c r="D1027" s="3"/>
      <c r="E1027" s="3"/>
    </row>
    <row r="1028">
      <c r="A1028" s="3"/>
      <c r="B1028" s="3"/>
      <c r="C1028" s="3"/>
      <c r="D1028" s="3"/>
      <c r="E1028" s="3"/>
    </row>
    <row r="1029">
      <c r="A1029" s="3"/>
      <c r="B1029" s="3"/>
      <c r="C1029" s="3"/>
      <c r="D1029" s="3"/>
      <c r="E1029" s="3"/>
    </row>
    <row r="1030">
      <c r="A1030" s="3"/>
      <c r="B1030" s="3"/>
      <c r="C1030" s="3"/>
      <c r="D1030" s="3"/>
      <c r="E1030" s="3"/>
    </row>
    <row r="1031">
      <c r="A1031" s="3"/>
      <c r="B1031" s="3"/>
      <c r="C1031" s="3"/>
      <c r="D1031" s="3"/>
      <c r="E1031" s="3"/>
    </row>
    <row r="1032">
      <c r="A1032" s="3"/>
      <c r="B1032" s="3"/>
      <c r="C1032" s="3"/>
      <c r="D1032" s="3"/>
      <c r="E1032" s="3"/>
    </row>
    <row r="1033">
      <c r="A1033" s="3"/>
      <c r="B1033" s="3"/>
      <c r="C1033" s="3"/>
      <c r="D1033" s="3"/>
      <c r="E1033" s="3"/>
    </row>
    <row r="1034">
      <c r="A1034" s="3"/>
      <c r="B1034" s="3"/>
      <c r="C1034" s="3"/>
      <c r="D1034" s="3"/>
      <c r="E1034" s="3"/>
    </row>
    <row r="1035">
      <c r="A1035" s="3"/>
      <c r="B1035" s="3"/>
      <c r="C1035" s="3"/>
      <c r="D1035" s="3"/>
      <c r="E1035" s="3"/>
    </row>
  </sheetData>
  <mergeCells count="4">
    <mergeCell ref="B3:B6"/>
    <mergeCell ref="B7:B11"/>
    <mergeCell ref="B12:B16"/>
    <mergeCell ref="B17:B21"/>
  </mergeCells>
  <hyperlinks>
    <hyperlink r:id="rId4" ref="C3"/>
    <hyperlink r:id="rId5" location="slide=id.gd0fbd4c1e7_3_214" ref="C4"/>
    <hyperlink r:id="rId6" ref="C5"/>
    <hyperlink r:id="rId7" ref="C6"/>
    <hyperlink r:id="rId8" ref="C7"/>
    <hyperlink r:id="rId9" ref="C8"/>
    <hyperlink r:id="rId10" ref="C9"/>
    <hyperlink r:id="rId11" ref="C10"/>
    <hyperlink r:id="rId12" location="gid=2144868993" ref="C11"/>
    <hyperlink r:id="rId13" ref="C12"/>
    <hyperlink r:id="rId14" ref="C13"/>
    <hyperlink r:id="rId15" ref="C14"/>
    <hyperlink r:id="rId16" location="gid=1980569057" ref="C15"/>
    <hyperlink r:id="rId17" ref="C16"/>
    <hyperlink r:id="rId18" ref="C17"/>
    <hyperlink r:id="rId19" location="!/browse" ref="C18"/>
    <hyperlink r:id="rId20" location="gid=1677354010" ref="C19"/>
    <hyperlink r:id="rId21" ref="C20"/>
    <hyperlink r:id="rId22" ref="C21"/>
    <hyperlink r:id="rId23" location="gid=916177642" ref="B24"/>
    <hyperlink r:id="rId24" location="gid=0" ref="B25"/>
    <hyperlink r:id="rId25" ref="B26"/>
    <hyperlink r:id="rId26" location="gid=1399114443" ref="B27"/>
    <hyperlink r:id="rId27" ref="B28"/>
    <hyperlink r:id="rId28" ref="B70"/>
    <hyperlink r:id="rId29" ref="D70"/>
    <hyperlink r:id="rId30" ref="B71"/>
    <hyperlink r:id="rId31" ref="B72"/>
    <hyperlink r:id="rId32" ref="D72"/>
    <hyperlink r:id="rId33" ref="B73"/>
    <hyperlink r:id="rId34" ref="B74"/>
    <hyperlink r:id="rId35" ref="B75"/>
    <hyperlink r:id="rId36" ref="B76"/>
    <hyperlink r:id="rId37" ref="B77"/>
  </hyperlinks>
  <drawing r:id="rId38"/>
  <legacyDrawing r:id="rId3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25"/>
    <col customWidth="1" min="2" max="2" width="39.63"/>
    <col customWidth="1" min="3" max="3" width="22.13"/>
    <col customWidth="1" min="4" max="4" width="59.75"/>
    <col customWidth="1" min="5" max="5" width="14.38"/>
    <col customWidth="1" min="6" max="6" width="58.0"/>
  </cols>
  <sheetData>
    <row r="1" ht="18.75" customHeight="1">
      <c r="A1" s="301"/>
      <c r="B1" s="301"/>
      <c r="C1" s="301"/>
      <c r="D1" s="301"/>
      <c r="E1" s="301"/>
      <c r="F1" s="302"/>
    </row>
    <row r="2">
      <c r="A2" s="301"/>
      <c r="B2" s="303" t="s">
        <v>514</v>
      </c>
      <c r="C2" s="160"/>
      <c r="D2" s="160"/>
      <c r="E2" s="161"/>
      <c r="F2" s="304"/>
    </row>
    <row r="3">
      <c r="A3" s="305"/>
      <c r="B3" s="306" t="s">
        <v>157</v>
      </c>
      <c r="C3" s="306" t="s">
        <v>158</v>
      </c>
      <c r="D3" s="306" t="s">
        <v>159</v>
      </c>
      <c r="E3" s="306" t="s">
        <v>515</v>
      </c>
      <c r="F3" s="307"/>
    </row>
    <row r="4">
      <c r="A4" s="222"/>
      <c r="B4" s="308" t="s">
        <v>516</v>
      </c>
      <c r="C4" s="309" t="s">
        <v>31</v>
      </c>
      <c r="D4" s="310" t="s">
        <v>517</v>
      </c>
      <c r="E4" s="311" t="s">
        <v>171</v>
      </c>
      <c r="F4" s="312"/>
    </row>
    <row r="5">
      <c r="A5" s="222"/>
      <c r="B5" s="313" t="s">
        <v>187</v>
      </c>
      <c r="C5" s="314" t="s">
        <v>31</v>
      </c>
      <c r="D5" s="315" t="s">
        <v>518</v>
      </c>
      <c r="E5" s="316" t="s">
        <v>181</v>
      </c>
      <c r="F5" s="317"/>
    </row>
    <row r="6">
      <c r="A6" s="222"/>
      <c r="B6" s="318" t="s">
        <v>519</v>
      </c>
      <c r="C6" s="319" t="s">
        <v>192</v>
      </c>
      <c r="D6" s="320" t="s">
        <v>190</v>
      </c>
      <c r="E6" s="321" t="s">
        <v>181</v>
      </c>
      <c r="F6" s="312"/>
    </row>
    <row r="7">
      <c r="A7" s="222"/>
      <c r="B7" s="313" t="s">
        <v>520</v>
      </c>
      <c r="C7" s="314" t="s">
        <v>192</v>
      </c>
      <c r="D7" s="315" t="s">
        <v>521</v>
      </c>
      <c r="E7" s="316" t="s">
        <v>181</v>
      </c>
      <c r="F7" s="317"/>
    </row>
    <row r="8">
      <c r="A8" s="222"/>
      <c r="B8" s="318" t="s">
        <v>522</v>
      </c>
      <c r="C8" s="319" t="s">
        <v>192</v>
      </c>
      <c r="D8" s="322" t="s">
        <v>523</v>
      </c>
      <c r="E8" s="321" t="s">
        <v>181</v>
      </c>
      <c r="F8" s="312"/>
    </row>
    <row r="9">
      <c r="A9" s="222"/>
      <c r="B9" s="313" t="s">
        <v>524</v>
      </c>
      <c r="C9" s="314" t="s">
        <v>197</v>
      </c>
      <c r="D9" s="323" t="s">
        <v>525</v>
      </c>
      <c r="E9" s="316" t="s">
        <v>181</v>
      </c>
      <c r="F9" s="317"/>
    </row>
    <row r="10">
      <c r="A10" s="222"/>
      <c r="B10" s="318" t="s">
        <v>199</v>
      </c>
      <c r="C10" s="319" t="s">
        <v>19</v>
      </c>
      <c r="D10" s="322" t="s">
        <v>526</v>
      </c>
      <c r="E10" s="321" t="s">
        <v>181</v>
      </c>
      <c r="F10" s="312"/>
    </row>
    <row r="11">
      <c r="A11" s="222"/>
      <c r="B11" s="313" t="s">
        <v>527</v>
      </c>
      <c r="C11" s="314" t="s">
        <v>192</v>
      </c>
      <c r="D11" s="316" t="s">
        <v>528</v>
      </c>
      <c r="E11" s="316" t="s">
        <v>181</v>
      </c>
      <c r="F11" s="317"/>
    </row>
    <row r="12">
      <c r="A12" s="222"/>
      <c r="B12" s="318" t="s">
        <v>203</v>
      </c>
      <c r="C12" s="319" t="s">
        <v>192</v>
      </c>
      <c r="D12" s="321" t="s">
        <v>529</v>
      </c>
      <c r="E12" s="321" t="s">
        <v>181</v>
      </c>
      <c r="F12" s="312"/>
    </row>
    <row r="13">
      <c r="A13" s="222"/>
      <c r="B13" s="313" t="s">
        <v>205</v>
      </c>
      <c r="C13" s="314" t="s">
        <v>192</v>
      </c>
      <c r="D13" s="323" t="s">
        <v>530</v>
      </c>
      <c r="E13" s="316" t="s">
        <v>181</v>
      </c>
      <c r="F13" s="317"/>
    </row>
    <row r="14">
      <c r="A14" s="222"/>
      <c r="B14" s="318" t="s">
        <v>207</v>
      </c>
      <c r="C14" s="319" t="s">
        <v>192</v>
      </c>
      <c r="D14" s="322" t="s">
        <v>531</v>
      </c>
      <c r="E14" s="321" t="s">
        <v>181</v>
      </c>
      <c r="F14" s="312"/>
    </row>
    <row r="15">
      <c r="A15" s="222"/>
      <c r="B15" s="313" t="s">
        <v>209</v>
      </c>
      <c r="C15" s="314" t="s">
        <v>192</v>
      </c>
      <c r="D15" s="315" t="s">
        <v>532</v>
      </c>
      <c r="E15" s="316" t="s">
        <v>181</v>
      </c>
      <c r="F15" s="317"/>
    </row>
    <row r="16">
      <c r="A16" s="222"/>
      <c r="B16" s="318" t="s">
        <v>211</v>
      </c>
      <c r="C16" s="319" t="s">
        <v>192</v>
      </c>
      <c r="D16" s="320" t="s">
        <v>533</v>
      </c>
      <c r="E16" s="321" t="s">
        <v>181</v>
      </c>
      <c r="F16" s="312"/>
    </row>
    <row r="17">
      <c r="A17" s="222"/>
      <c r="B17" s="313" t="s">
        <v>215</v>
      </c>
      <c r="C17" s="314" t="s">
        <v>183</v>
      </c>
      <c r="D17" s="315" t="s">
        <v>534</v>
      </c>
      <c r="E17" s="316" t="s">
        <v>181</v>
      </c>
      <c r="F17" s="317"/>
    </row>
    <row r="18">
      <c r="A18" s="222"/>
      <c r="B18" s="318" t="s">
        <v>78</v>
      </c>
      <c r="C18" s="319" t="s">
        <v>183</v>
      </c>
      <c r="D18" s="320" t="s">
        <v>535</v>
      </c>
      <c r="E18" s="321" t="s">
        <v>181</v>
      </c>
      <c r="F18" s="312"/>
    </row>
    <row r="19">
      <c r="A19" s="222"/>
      <c r="B19" s="313" t="s">
        <v>21</v>
      </c>
      <c r="C19" s="314" t="s">
        <v>19</v>
      </c>
      <c r="D19" s="323" t="s">
        <v>219</v>
      </c>
      <c r="E19" s="316" t="s">
        <v>181</v>
      </c>
      <c r="F19" s="317"/>
    </row>
    <row r="20">
      <c r="A20" s="222"/>
      <c r="B20" s="318" t="s">
        <v>220</v>
      </c>
      <c r="C20" s="319" t="s">
        <v>183</v>
      </c>
      <c r="D20" s="322" t="s">
        <v>536</v>
      </c>
      <c r="E20" s="321" t="s">
        <v>164</v>
      </c>
      <c r="F20" s="324" t="s">
        <v>537</v>
      </c>
    </row>
    <row r="21">
      <c r="A21" s="222"/>
      <c r="B21" s="325" t="s">
        <v>222</v>
      </c>
      <c r="C21" s="326" t="s">
        <v>183</v>
      </c>
      <c r="D21" s="327" t="s">
        <v>536</v>
      </c>
      <c r="E21" s="328" t="s">
        <v>164</v>
      </c>
      <c r="F21" s="329" t="s">
        <v>537</v>
      </c>
    </row>
    <row r="23">
      <c r="A23" s="222"/>
      <c r="B23" s="222" t="s">
        <v>256</v>
      </c>
      <c r="C23" s="222" t="s">
        <v>192</v>
      </c>
      <c r="D23" s="330" t="s">
        <v>538</v>
      </c>
    </row>
  </sheetData>
  <mergeCells count="1">
    <mergeCell ref="B2:E2"/>
  </mergeCells>
  <dataValidations>
    <dataValidation type="list" allowBlank="1" showErrorMessage="1" sqref="E4:E21">
      <formula1>"Backlog,In Progress,Completed"</formula1>
    </dataValidation>
  </dataValidations>
  <hyperlinks>
    <hyperlink r:id="rId1" ref="B4"/>
    <hyperlink r:id="rId2" location="slide=id.g27b04383fa0_0_373" ref="D4"/>
    <hyperlink r:id="rId3" ref="D5"/>
    <hyperlink r:id="rId4" ref="D6"/>
    <hyperlink r:id="rId5" ref="D7"/>
    <hyperlink r:id="rId6" ref="D15"/>
    <hyperlink r:id="rId7" ref="D16"/>
    <hyperlink r:id="rId8" ref="D17"/>
    <hyperlink r:id="rId9" ref="D18"/>
    <hyperlink r:id="rId10" ref="D23"/>
  </hyperlinks>
  <drawing r:id="rId1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4.13"/>
    <col customWidth="1" min="2" max="2" width="32.75"/>
    <col customWidth="1" min="3" max="3" width="11.75"/>
    <col customWidth="1" min="4" max="4" width="5.75"/>
    <col customWidth="1" min="12" max="12" width="57.0"/>
    <col customWidth="1" min="13" max="13" width="31.38"/>
    <col customWidth="1" min="14" max="14" width="58.38"/>
  </cols>
  <sheetData>
    <row r="1">
      <c r="A1" s="305"/>
      <c r="B1" s="305" t="s">
        <v>0</v>
      </c>
      <c r="E1" s="305"/>
      <c r="F1" s="305"/>
      <c r="G1" s="305"/>
      <c r="H1" s="305"/>
      <c r="I1" s="305"/>
      <c r="J1" s="305"/>
      <c r="K1" s="305"/>
      <c r="L1" s="331"/>
      <c r="M1" s="305"/>
      <c r="N1" s="305"/>
    </row>
    <row r="2">
      <c r="A2" s="305"/>
      <c r="B2" s="332">
        <v>45481.0</v>
      </c>
      <c r="E2" s="305"/>
      <c r="F2" s="305"/>
      <c r="G2" s="305"/>
      <c r="H2" s="305"/>
      <c r="I2" s="305"/>
      <c r="J2" s="305"/>
      <c r="K2" s="305"/>
      <c r="L2" s="331"/>
      <c r="M2" s="305"/>
      <c r="N2" s="305"/>
    </row>
    <row r="3">
      <c r="A3" s="305"/>
      <c r="B3" s="333" t="s">
        <v>539</v>
      </c>
      <c r="C3" s="334"/>
      <c r="D3" s="334" t="s">
        <v>540</v>
      </c>
      <c r="E3" s="335"/>
      <c r="F3" s="335"/>
      <c r="G3" s="335"/>
      <c r="H3" s="335"/>
      <c r="I3" s="335"/>
      <c r="J3" s="335"/>
      <c r="K3" s="335"/>
      <c r="L3" s="335"/>
      <c r="M3" s="335"/>
      <c r="N3" s="336"/>
    </row>
    <row r="4">
      <c r="A4" s="305"/>
      <c r="B4" s="337" t="s">
        <v>3</v>
      </c>
      <c r="C4" s="338" t="s">
        <v>541</v>
      </c>
      <c r="D4" s="338" t="s">
        <v>5</v>
      </c>
      <c r="E4" s="338" t="s">
        <v>6</v>
      </c>
      <c r="F4" s="338" t="s">
        <v>7</v>
      </c>
      <c r="G4" s="338" t="s">
        <v>8</v>
      </c>
      <c r="H4" s="338" t="s">
        <v>9</v>
      </c>
      <c r="I4" s="338" t="s">
        <v>10</v>
      </c>
      <c r="J4" s="338" t="s">
        <v>11</v>
      </c>
      <c r="K4" s="338" t="s">
        <v>12</v>
      </c>
      <c r="L4" s="339" t="s">
        <v>13</v>
      </c>
      <c r="M4" s="338" t="s">
        <v>14</v>
      </c>
      <c r="N4" s="340" t="s">
        <v>15</v>
      </c>
    </row>
    <row r="5" ht="75.0" customHeight="1">
      <c r="A5" s="222"/>
      <c r="B5" s="341" t="s">
        <v>542</v>
      </c>
      <c r="C5" s="342" t="b">
        <v>1</v>
      </c>
      <c r="D5" s="342">
        <v>1.0</v>
      </c>
      <c r="E5" s="342" t="str">
        <f t="shared" ref="E5:E7" si="1">TEXT(F5, "dddd")</f>
        <v>Monday</v>
      </c>
      <c r="F5" s="343">
        <f>B2</f>
        <v>45481</v>
      </c>
      <c r="G5" s="342" t="s">
        <v>18</v>
      </c>
      <c r="H5" s="344">
        <v>0.5</v>
      </c>
      <c r="I5" s="344">
        <v>0.5208333333333334</v>
      </c>
      <c r="J5" s="342" t="s">
        <v>543</v>
      </c>
      <c r="K5" s="345"/>
      <c r="L5" s="346" t="s">
        <v>20</v>
      </c>
      <c r="M5" s="347" t="s">
        <v>544</v>
      </c>
      <c r="N5" s="348" t="s">
        <v>22</v>
      </c>
    </row>
    <row r="6" ht="75.0" customHeight="1">
      <c r="A6" s="222"/>
      <c r="B6" s="349" t="s">
        <v>24</v>
      </c>
      <c r="C6" s="350" t="b">
        <v>1</v>
      </c>
      <c r="D6" s="351">
        <v>1.0</v>
      </c>
      <c r="E6" s="350" t="str">
        <f t="shared" si="1"/>
        <v>Tuesday</v>
      </c>
      <c r="F6" s="352">
        <f>WORKDAY(B2, 1)</f>
        <v>45482</v>
      </c>
      <c r="G6" s="351" t="s">
        <v>18</v>
      </c>
      <c r="H6" s="353">
        <v>0.5</v>
      </c>
      <c r="I6" s="353">
        <v>0.5208333333333334</v>
      </c>
      <c r="J6" s="351" t="s">
        <v>545</v>
      </c>
      <c r="K6" s="351" t="s">
        <v>152</v>
      </c>
      <c r="L6" s="354" t="s">
        <v>25</v>
      </c>
      <c r="M6" s="355" t="s">
        <v>26</v>
      </c>
      <c r="N6" s="356" t="s">
        <v>22</v>
      </c>
    </row>
    <row r="7" ht="37.5" customHeight="1">
      <c r="A7" s="222"/>
      <c r="B7" s="357" t="s">
        <v>546</v>
      </c>
      <c r="C7" s="342" t="b">
        <v>1</v>
      </c>
      <c r="D7" s="358">
        <v>1.0</v>
      </c>
      <c r="E7" s="342" t="str">
        <f t="shared" si="1"/>
        <v>Wednesday</v>
      </c>
      <c r="F7" s="359">
        <f>WORKDAY(B2, 2)</f>
        <v>45483</v>
      </c>
      <c r="G7" s="358" t="s">
        <v>18</v>
      </c>
      <c r="H7" s="360">
        <v>0.5</v>
      </c>
      <c r="I7" s="360">
        <v>0.5208333333333334</v>
      </c>
      <c r="J7" s="358" t="s">
        <v>114</v>
      </c>
      <c r="K7" s="358" t="s">
        <v>107</v>
      </c>
      <c r="L7" s="361" t="s">
        <v>28</v>
      </c>
      <c r="M7" s="362" t="s">
        <v>546</v>
      </c>
      <c r="N7" s="363" t="s">
        <v>22</v>
      </c>
    </row>
    <row r="8" ht="37.5" customHeight="1">
      <c r="A8" s="222"/>
      <c r="B8" s="364"/>
      <c r="C8" s="350" t="b">
        <v>1</v>
      </c>
      <c r="D8" s="365"/>
      <c r="E8" s="350"/>
      <c r="F8" s="365"/>
      <c r="G8" s="365"/>
      <c r="H8" s="365"/>
      <c r="I8" s="365"/>
      <c r="J8" s="365"/>
      <c r="K8" s="365"/>
      <c r="L8" s="365"/>
      <c r="M8" s="366" t="s">
        <v>547</v>
      </c>
      <c r="N8" s="329" t="s">
        <v>22</v>
      </c>
    </row>
    <row r="9" ht="75.0" customHeight="1">
      <c r="A9" s="222"/>
      <c r="B9" s="367" t="s">
        <v>30</v>
      </c>
      <c r="C9" s="342" t="b">
        <v>1</v>
      </c>
      <c r="D9" s="368">
        <v>2.0</v>
      </c>
      <c r="E9" s="342" t="s">
        <v>548</v>
      </c>
      <c r="F9" s="369">
        <v>45496.0</v>
      </c>
      <c r="G9" s="368" t="s">
        <v>18</v>
      </c>
      <c r="H9" s="370">
        <v>0.5</v>
      </c>
      <c r="I9" s="370">
        <v>0.5208333333333334</v>
      </c>
      <c r="J9" s="368" t="s">
        <v>549</v>
      </c>
      <c r="K9" s="368" t="s">
        <v>152</v>
      </c>
      <c r="L9" s="371" t="s">
        <v>550</v>
      </c>
      <c r="M9" s="372" t="s">
        <v>551</v>
      </c>
      <c r="N9" s="373" t="s">
        <v>22</v>
      </c>
    </row>
    <row r="10" ht="75.0" customHeight="1">
      <c r="A10" s="222"/>
      <c r="B10" s="349" t="s">
        <v>34</v>
      </c>
      <c r="C10" s="350" t="b">
        <v>1</v>
      </c>
      <c r="D10" s="351">
        <v>2.0</v>
      </c>
      <c r="E10" s="350" t="str">
        <f t="shared" ref="E10:E12" si="2">TEXT(F10, "dddd")</f>
        <v>Tuesday</v>
      </c>
      <c r="F10" s="352">
        <f>WORKDAY(B2, 6)</f>
        <v>45489</v>
      </c>
      <c r="G10" s="351" t="s">
        <v>18</v>
      </c>
      <c r="H10" s="353">
        <v>0.5</v>
      </c>
      <c r="I10" s="353">
        <v>0.5208333333333334</v>
      </c>
      <c r="J10" s="351" t="s">
        <v>114</v>
      </c>
      <c r="K10" s="351" t="s">
        <v>552</v>
      </c>
      <c r="L10" s="354" t="s">
        <v>553</v>
      </c>
      <c r="M10" s="355" t="s">
        <v>36</v>
      </c>
      <c r="N10" s="356" t="s">
        <v>22</v>
      </c>
    </row>
    <row r="11" ht="75.0" customHeight="1">
      <c r="A11" s="222"/>
      <c r="B11" s="367" t="s">
        <v>38</v>
      </c>
      <c r="C11" s="342" t="b">
        <v>1</v>
      </c>
      <c r="D11" s="368">
        <v>2.0</v>
      </c>
      <c r="E11" s="342" t="str">
        <f t="shared" si="2"/>
        <v>Tuesday</v>
      </c>
      <c r="F11" s="369">
        <f>WORKDAY(B2, 6)</f>
        <v>45489</v>
      </c>
      <c r="G11" s="368" t="s">
        <v>39</v>
      </c>
      <c r="H11" s="370">
        <v>0.5208333333333334</v>
      </c>
      <c r="I11" s="370">
        <v>0.5625</v>
      </c>
      <c r="J11" s="368" t="s">
        <v>117</v>
      </c>
      <c r="K11" s="368" t="s">
        <v>554</v>
      </c>
      <c r="L11" s="371" t="s">
        <v>40</v>
      </c>
      <c r="M11" s="374" t="s">
        <v>41</v>
      </c>
      <c r="N11" s="375" t="s">
        <v>42</v>
      </c>
    </row>
    <row r="12" ht="75.0" customHeight="1">
      <c r="A12" s="222"/>
      <c r="B12" s="349" t="s">
        <v>43</v>
      </c>
      <c r="C12" s="350" t="b">
        <v>1</v>
      </c>
      <c r="D12" s="351">
        <v>2.0</v>
      </c>
      <c r="E12" s="350" t="str">
        <f t="shared" si="2"/>
        <v>Wednesday</v>
      </c>
      <c r="F12" s="352">
        <f>WORKDAY(B2, 7)</f>
        <v>45490</v>
      </c>
      <c r="G12" s="351" t="s">
        <v>18</v>
      </c>
      <c r="H12" s="353">
        <v>0.5</v>
      </c>
      <c r="I12" s="353">
        <v>0.5208333333333334</v>
      </c>
      <c r="J12" s="351" t="s">
        <v>118</v>
      </c>
      <c r="K12" s="351" t="s">
        <v>152</v>
      </c>
      <c r="L12" s="354" t="s">
        <v>44</v>
      </c>
      <c r="M12" s="355" t="s">
        <v>555</v>
      </c>
      <c r="N12" s="356" t="s">
        <v>22</v>
      </c>
    </row>
    <row r="13" ht="75.0" customHeight="1">
      <c r="A13" s="222"/>
      <c r="B13" s="367" t="s">
        <v>46</v>
      </c>
      <c r="C13" s="342" t="b">
        <v>1</v>
      </c>
      <c r="D13" s="368">
        <v>2.0</v>
      </c>
      <c r="E13" s="342" t="s">
        <v>556</v>
      </c>
      <c r="F13" s="369">
        <v>45490.0</v>
      </c>
      <c r="G13" s="368" t="s">
        <v>18</v>
      </c>
      <c r="H13" s="370">
        <v>0.5208333333333334</v>
      </c>
      <c r="I13" s="370">
        <v>0.5416666666666666</v>
      </c>
      <c r="J13" s="368" t="s">
        <v>119</v>
      </c>
      <c r="K13" s="376"/>
      <c r="L13" s="371" t="s">
        <v>47</v>
      </c>
      <c r="M13" s="368" t="s">
        <v>22</v>
      </c>
      <c r="N13" s="373" t="s">
        <v>22</v>
      </c>
    </row>
    <row r="14" ht="75.0" customHeight="1">
      <c r="A14" s="222"/>
      <c r="B14" s="349" t="s">
        <v>48</v>
      </c>
      <c r="C14" s="350" t="b">
        <v>1</v>
      </c>
      <c r="D14" s="351">
        <v>3.0</v>
      </c>
      <c r="E14" s="350" t="s">
        <v>557</v>
      </c>
      <c r="F14" s="352">
        <v>45498.0</v>
      </c>
      <c r="G14" s="351" t="s">
        <v>39</v>
      </c>
      <c r="H14" s="353">
        <v>0.5</v>
      </c>
      <c r="I14" s="353">
        <v>0.5416666666666666</v>
      </c>
      <c r="J14" s="351" t="s">
        <v>117</v>
      </c>
      <c r="K14" s="351" t="s">
        <v>554</v>
      </c>
      <c r="L14" s="354" t="s">
        <v>49</v>
      </c>
      <c r="M14" s="351" t="s">
        <v>22</v>
      </c>
      <c r="N14" s="356" t="s">
        <v>22</v>
      </c>
    </row>
    <row r="15" ht="75.0" customHeight="1">
      <c r="A15" s="222"/>
      <c r="B15" s="367" t="s">
        <v>51</v>
      </c>
      <c r="C15" s="342" t="b">
        <v>1</v>
      </c>
      <c r="D15" s="368">
        <v>3.0</v>
      </c>
      <c r="E15" s="342" t="s">
        <v>417</v>
      </c>
      <c r="F15" s="369">
        <v>45499.0</v>
      </c>
      <c r="G15" s="368" t="s">
        <v>39</v>
      </c>
      <c r="H15" s="370">
        <v>0.5</v>
      </c>
      <c r="I15" s="370">
        <v>0.5416666666666666</v>
      </c>
      <c r="J15" s="368" t="s">
        <v>117</v>
      </c>
      <c r="K15" s="368" t="s">
        <v>558</v>
      </c>
      <c r="L15" s="371" t="s">
        <v>559</v>
      </c>
      <c r="M15" s="377" t="s">
        <v>53</v>
      </c>
      <c r="N15" s="375" t="s">
        <v>42</v>
      </c>
    </row>
    <row r="16" ht="37.5" customHeight="1">
      <c r="A16" s="222"/>
      <c r="B16" s="378" t="s">
        <v>54</v>
      </c>
      <c r="C16" s="350" t="b">
        <v>0</v>
      </c>
      <c r="D16" s="379">
        <v>3.0</v>
      </c>
      <c r="E16" s="350" t="str">
        <f>TEXT(F16, "dddd")</f>
        <v>Wednesday</v>
      </c>
      <c r="F16" s="380">
        <f>WORKDAY(B2, 12)</f>
        <v>45497</v>
      </c>
      <c r="G16" s="379" t="s">
        <v>18</v>
      </c>
      <c r="H16" s="381">
        <v>0.5416666666666666</v>
      </c>
      <c r="I16" s="381">
        <v>0.5625</v>
      </c>
      <c r="J16" s="382"/>
      <c r="K16" s="382"/>
      <c r="L16" s="383" t="s">
        <v>55</v>
      </c>
      <c r="M16" s="384" t="s">
        <v>560</v>
      </c>
      <c r="N16" s="385" t="s">
        <v>57</v>
      </c>
    </row>
    <row r="17" ht="37.5" customHeight="1">
      <c r="A17" s="222"/>
      <c r="B17" s="386"/>
      <c r="C17" s="342" t="b">
        <v>0</v>
      </c>
      <c r="D17" s="387"/>
      <c r="E17" s="342"/>
      <c r="F17" s="387"/>
      <c r="G17" s="387"/>
      <c r="H17" s="387"/>
      <c r="I17" s="387"/>
      <c r="J17" s="387"/>
      <c r="K17" s="387"/>
      <c r="L17" s="387"/>
      <c r="M17" s="388" t="s">
        <v>561</v>
      </c>
      <c r="N17" s="389"/>
    </row>
    <row r="18" ht="75.0" customHeight="1">
      <c r="A18" s="222"/>
      <c r="B18" s="349" t="s">
        <v>58</v>
      </c>
      <c r="C18" s="350" t="b">
        <v>1</v>
      </c>
      <c r="D18" s="351">
        <v>3.0</v>
      </c>
      <c r="E18" s="350" t="str">
        <f t="shared" ref="E18:E19" si="3">TEXT(F18, "dddd")</f>
        <v>Thursday</v>
      </c>
      <c r="F18" s="352">
        <f>WORKDAY(B2, 13)</f>
        <v>45498</v>
      </c>
      <c r="G18" s="351" t="s">
        <v>18</v>
      </c>
      <c r="H18" s="353">
        <v>0.5</v>
      </c>
      <c r="I18" s="353">
        <v>0.5208333333333334</v>
      </c>
      <c r="J18" s="351" t="s">
        <v>543</v>
      </c>
      <c r="K18" s="390"/>
      <c r="L18" s="354" t="s">
        <v>59</v>
      </c>
      <c r="M18" s="391" t="s">
        <v>22</v>
      </c>
      <c r="N18" s="356" t="s">
        <v>22</v>
      </c>
    </row>
    <row r="19" ht="37.5" customHeight="1">
      <c r="A19" s="222"/>
      <c r="B19" s="357" t="s">
        <v>60</v>
      </c>
      <c r="C19" s="363" t="b">
        <v>1</v>
      </c>
      <c r="D19" s="358">
        <v>4.0</v>
      </c>
      <c r="E19" s="342" t="str">
        <f t="shared" si="3"/>
        <v>Monday</v>
      </c>
      <c r="F19" s="359">
        <f>WORKDAY(B2, 15)</f>
        <v>45502</v>
      </c>
      <c r="G19" s="358" t="s">
        <v>18</v>
      </c>
      <c r="H19" s="360">
        <v>0.5</v>
      </c>
      <c r="I19" s="360">
        <v>0.5208333333333334</v>
      </c>
      <c r="J19" s="358" t="s">
        <v>545</v>
      </c>
      <c r="K19" s="358" t="s">
        <v>562</v>
      </c>
      <c r="L19" s="361" t="s">
        <v>61</v>
      </c>
      <c r="M19" s="377" t="s">
        <v>563</v>
      </c>
      <c r="N19" s="392" t="s">
        <v>22</v>
      </c>
    </row>
    <row r="20" ht="37.5" customHeight="1">
      <c r="A20" s="222"/>
      <c r="B20" s="364"/>
      <c r="C20" s="365"/>
      <c r="D20" s="365"/>
      <c r="E20" s="350"/>
      <c r="F20" s="365"/>
      <c r="G20" s="365"/>
      <c r="H20" s="365"/>
      <c r="I20" s="365"/>
      <c r="J20" s="365"/>
      <c r="K20" s="365"/>
      <c r="L20" s="365"/>
      <c r="M20" s="393" t="s">
        <v>564</v>
      </c>
      <c r="N20" s="394"/>
    </row>
    <row r="21" ht="75.0" customHeight="1">
      <c r="A21" s="222"/>
      <c r="B21" s="367" t="s">
        <v>63</v>
      </c>
      <c r="C21" s="342" t="b">
        <v>1</v>
      </c>
      <c r="D21" s="368">
        <v>4.0</v>
      </c>
      <c r="E21" s="342" t="str">
        <f t="shared" ref="E21:E27" si="4">TEXT(F21, "dddd")</f>
        <v>Tuesday</v>
      </c>
      <c r="F21" s="369">
        <f>WORKDAY(B2, 16)</f>
        <v>45503</v>
      </c>
      <c r="G21" s="368" t="s">
        <v>18</v>
      </c>
      <c r="H21" s="370">
        <v>0.5</v>
      </c>
      <c r="I21" s="370">
        <v>0.5208333333333334</v>
      </c>
      <c r="J21" s="368" t="s">
        <v>562</v>
      </c>
      <c r="K21" s="368" t="s">
        <v>565</v>
      </c>
      <c r="L21" s="371" t="s">
        <v>64</v>
      </c>
      <c r="M21" s="395" t="s">
        <v>65</v>
      </c>
      <c r="N21" s="363" t="s">
        <v>22</v>
      </c>
    </row>
    <row r="22" ht="75.0" customHeight="1">
      <c r="A22" s="222"/>
      <c r="B22" s="349" t="s">
        <v>67</v>
      </c>
      <c r="C22" s="350" t="b">
        <v>1</v>
      </c>
      <c r="D22" s="351">
        <v>4.0</v>
      </c>
      <c r="E22" s="350" t="str">
        <f t="shared" si="4"/>
        <v>Tuesday</v>
      </c>
      <c r="F22" s="352">
        <f>WORKDAY(B2, 16)</f>
        <v>45503</v>
      </c>
      <c r="G22" s="351" t="s">
        <v>68</v>
      </c>
      <c r="H22" s="353">
        <v>0.5208333333333334</v>
      </c>
      <c r="I22" s="353">
        <v>0.5520833333333334</v>
      </c>
      <c r="J22" s="351" t="s">
        <v>562</v>
      </c>
      <c r="K22" s="351" t="s">
        <v>565</v>
      </c>
      <c r="L22" s="354" t="s">
        <v>69</v>
      </c>
      <c r="M22" s="396"/>
      <c r="N22" s="397" t="s">
        <v>42</v>
      </c>
    </row>
    <row r="23" ht="75.0" customHeight="1">
      <c r="A23" s="222"/>
      <c r="B23" s="367" t="s">
        <v>71</v>
      </c>
      <c r="C23" s="342" t="b">
        <v>1</v>
      </c>
      <c r="D23" s="368">
        <v>4.0</v>
      </c>
      <c r="E23" s="342" t="str">
        <f t="shared" si="4"/>
        <v>Wednesday</v>
      </c>
      <c r="F23" s="369">
        <f>WORKDAY(B2, 17)</f>
        <v>45504</v>
      </c>
      <c r="G23" s="368" t="s">
        <v>18</v>
      </c>
      <c r="H23" s="370">
        <v>0.5</v>
      </c>
      <c r="I23" s="370">
        <v>0.5208333333333334</v>
      </c>
      <c r="J23" s="368" t="s">
        <v>107</v>
      </c>
      <c r="K23" s="368" t="s">
        <v>566</v>
      </c>
      <c r="L23" s="371" t="s">
        <v>72</v>
      </c>
      <c r="M23" s="395" t="s">
        <v>73</v>
      </c>
      <c r="N23" s="398" t="s">
        <v>22</v>
      </c>
    </row>
    <row r="24" ht="75.0" customHeight="1">
      <c r="A24" s="222"/>
      <c r="B24" s="349" t="s">
        <v>74</v>
      </c>
      <c r="C24" s="350" t="b">
        <v>1</v>
      </c>
      <c r="D24" s="351">
        <v>4.0</v>
      </c>
      <c r="E24" s="350" t="str">
        <f t="shared" si="4"/>
        <v>Thursday</v>
      </c>
      <c r="F24" s="352">
        <f>WORKDAY(B2, 18)</f>
        <v>45505</v>
      </c>
      <c r="G24" s="351" t="s">
        <v>39</v>
      </c>
      <c r="H24" s="353">
        <v>0.5</v>
      </c>
      <c r="I24" s="353">
        <v>0.5416666666666666</v>
      </c>
      <c r="J24" s="351" t="s">
        <v>117</v>
      </c>
      <c r="K24" s="351" t="s">
        <v>558</v>
      </c>
      <c r="L24" s="351" t="s">
        <v>75</v>
      </c>
      <c r="M24" s="396" t="s">
        <v>22</v>
      </c>
      <c r="N24" s="399" t="s">
        <v>22</v>
      </c>
    </row>
    <row r="25" ht="75.0" customHeight="1">
      <c r="A25" s="222"/>
      <c r="B25" s="367" t="s">
        <v>76</v>
      </c>
      <c r="C25" s="342" t="b">
        <v>1</v>
      </c>
      <c r="D25" s="368">
        <v>5.0</v>
      </c>
      <c r="E25" s="342" t="str">
        <f t="shared" si="4"/>
        <v>Monday</v>
      </c>
      <c r="F25" s="369">
        <f>WORKDAY(B2, 20)</f>
        <v>45509</v>
      </c>
      <c r="G25" s="368" t="s">
        <v>18</v>
      </c>
      <c r="H25" s="370">
        <v>0.5</v>
      </c>
      <c r="I25" s="370">
        <v>0.5208333333333334</v>
      </c>
      <c r="J25" s="368" t="s">
        <v>112</v>
      </c>
      <c r="K25" s="368" t="s">
        <v>567</v>
      </c>
      <c r="L25" s="400" t="s">
        <v>568</v>
      </c>
      <c r="M25" s="374" t="s">
        <v>78</v>
      </c>
      <c r="N25" s="398" t="s">
        <v>22</v>
      </c>
    </row>
    <row r="26" ht="75.0" customHeight="1">
      <c r="A26" s="222"/>
      <c r="B26" s="349" t="s">
        <v>79</v>
      </c>
      <c r="C26" s="350" t="b">
        <v>1</v>
      </c>
      <c r="D26" s="351">
        <v>5.0</v>
      </c>
      <c r="E26" s="350" t="str">
        <f t="shared" si="4"/>
        <v>Tuesday</v>
      </c>
      <c r="F26" s="352">
        <f>WORKDAY(B2, 21)</f>
        <v>45510</v>
      </c>
      <c r="G26" s="351" t="s">
        <v>39</v>
      </c>
      <c r="H26" s="353">
        <v>0.5</v>
      </c>
      <c r="I26" s="353">
        <v>0.5416666666666666</v>
      </c>
      <c r="J26" s="351" t="s">
        <v>107</v>
      </c>
      <c r="K26" s="351" t="s">
        <v>569</v>
      </c>
      <c r="L26" s="354" t="s">
        <v>80</v>
      </c>
      <c r="M26" s="355" t="s">
        <v>81</v>
      </c>
      <c r="N26" s="397" t="s">
        <v>570</v>
      </c>
    </row>
    <row r="27" ht="37.5" customHeight="1">
      <c r="A27" s="222"/>
      <c r="B27" s="357" t="s">
        <v>571</v>
      </c>
      <c r="C27" s="342" t="b">
        <v>1</v>
      </c>
      <c r="D27" s="358">
        <v>5.0</v>
      </c>
      <c r="E27" s="342" t="str">
        <f t="shared" si="4"/>
        <v>Wednesday</v>
      </c>
      <c r="F27" s="359">
        <f>WORKDAY(B2, 22)</f>
        <v>45511</v>
      </c>
      <c r="G27" s="358" t="s">
        <v>39</v>
      </c>
      <c r="H27" s="360">
        <v>0.5</v>
      </c>
      <c r="I27" s="360">
        <v>0.5416666666666666</v>
      </c>
      <c r="J27" s="358" t="s">
        <v>107</v>
      </c>
      <c r="K27" s="358" t="s">
        <v>94</v>
      </c>
      <c r="L27" s="361" t="s">
        <v>84</v>
      </c>
      <c r="M27" s="377" t="s">
        <v>85</v>
      </c>
      <c r="N27" s="375" t="s">
        <v>572</v>
      </c>
    </row>
    <row r="28" ht="37.5" customHeight="1">
      <c r="B28" s="364"/>
      <c r="C28" s="350" t="b">
        <v>1</v>
      </c>
      <c r="D28" s="365"/>
      <c r="E28" s="350"/>
      <c r="F28" s="365"/>
      <c r="G28" s="365"/>
      <c r="H28" s="365"/>
      <c r="I28" s="365"/>
      <c r="J28" s="365"/>
      <c r="K28" s="365"/>
      <c r="L28" s="365"/>
      <c r="M28" s="365"/>
      <c r="N28" s="397" t="s">
        <v>573</v>
      </c>
    </row>
    <row r="29" ht="75.0" customHeight="1">
      <c r="A29" s="222"/>
      <c r="B29" s="367" t="s">
        <v>87</v>
      </c>
      <c r="C29" s="342" t="b">
        <v>1</v>
      </c>
      <c r="D29" s="368">
        <v>5.0</v>
      </c>
      <c r="E29" s="342" t="str">
        <f t="shared" ref="E29:E35" si="5">TEXT(F29, "dddd")</f>
        <v>Thursday</v>
      </c>
      <c r="F29" s="369">
        <f>WORKDAY(B2, 23)</f>
        <v>45512</v>
      </c>
      <c r="G29" s="368" t="s">
        <v>39</v>
      </c>
      <c r="H29" s="370">
        <v>0.5</v>
      </c>
      <c r="I29" s="370">
        <v>0.5416666666666666</v>
      </c>
      <c r="J29" s="368" t="s">
        <v>107</v>
      </c>
      <c r="K29" s="368" t="s">
        <v>117</v>
      </c>
      <c r="L29" s="371" t="s">
        <v>88</v>
      </c>
      <c r="M29" s="374" t="s">
        <v>89</v>
      </c>
      <c r="N29" s="375" t="s">
        <v>42</v>
      </c>
    </row>
    <row r="30" ht="75.0" customHeight="1">
      <c r="A30" s="222"/>
      <c r="B30" s="349" t="s">
        <v>90</v>
      </c>
      <c r="C30" s="350" t="b">
        <v>1</v>
      </c>
      <c r="D30" s="351">
        <v>5.0</v>
      </c>
      <c r="E30" s="350" t="str">
        <f t="shared" si="5"/>
        <v>Thursday</v>
      </c>
      <c r="F30" s="352">
        <f>WORKDAY(B2, 23)</f>
        <v>45512</v>
      </c>
      <c r="G30" s="351" t="s">
        <v>18</v>
      </c>
      <c r="H30" s="401">
        <v>0.6041666666666666</v>
      </c>
      <c r="I30" s="353">
        <v>0.625</v>
      </c>
      <c r="J30" s="351" t="s">
        <v>562</v>
      </c>
      <c r="K30" s="351" t="s">
        <v>117</v>
      </c>
      <c r="L30" s="354" t="s">
        <v>91</v>
      </c>
      <c r="M30" s="356" t="s">
        <v>22</v>
      </c>
      <c r="N30" s="356" t="s">
        <v>22</v>
      </c>
    </row>
    <row r="31" ht="75.0" customHeight="1">
      <c r="A31" s="222"/>
      <c r="B31" s="367" t="s">
        <v>99</v>
      </c>
      <c r="C31" s="342" t="b">
        <v>1</v>
      </c>
      <c r="D31" s="368">
        <v>6.0</v>
      </c>
      <c r="E31" s="342" t="str">
        <f t="shared" si="5"/>
        <v>Tuesday</v>
      </c>
      <c r="F31" s="369">
        <f>WORKDAY(B2, 21)</f>
        <v>45510</v>
      </c>
      <c r="G31" s="368" t="s">
        <v>18</v>
      </c>
      <c r="H31" s="370">
        <v>0.4791666666666667</v>
      </c>
      <c r="I31" s="370">
        <v>0.5</v>
      </c>
      <c r="J31" s="368" t="s">
        <v>543</v>
      </c>
      <c r="K31" s="376"/>
      <c r="L31" s="368" t="s">
        <v>100</v>
      </c>
      <c r="M31" s="373" t="s">
        <v>22</v>
      </c>
      <c r="N31" s="373" t="s">
        <v>22</v>
      </c>
    </row>
    <row r="32" ht="75.0" customHeight="1">
      <c r="B32" s="349" t="s">
        <v>101</v>
      </c>
      <c r="C32" s="350" t="b">
        <v>1</v>
      </c>
      <c r="D32" s="351">
        <v>6.0</v>
      </c>
      <c r="E32" s="350" t="str">
        <f t="shared" si="5"/>
        <v>Thursday</v>
      </c>
      <c r="F32" s="402">
        <v>45519.0</v>
      </c>
      <c r="G32" s="351" t="s">
        <v>18</v>
      </c>
      <c r="H32" s="353">
        <v>0.5</v>
      </c>
      <c r="I32" s="353">
        <v>0.5208333333333334</v>
      </c>
      <c r="J32" s="351" t="s">
        <v>574</v>
      </c>
      <c r="K32" s="351"/>
      <c r="L32" s="356" t="s">
        <v>22</v>
      </c>
      <c r="M32" s="356" t="s">
        <v>22</v>
      </c>
      <c r="N32" s="403"/>
    </row>
    <row r="33" ht="75.0" customHeight="1">
      <c r="B33" s="367" t="s">
        <v>102</v>
      </c>
      <c r="C33" s="342" t="b">
        <v>1</v>
      </c>
      <c r="D33" s="368" t="s">
        <v>103</v>
      </c>
      <c r="E33" s="342" t="str">
        <f t="shared" si="5"/>
        <v>Wednesday</v>
      </c>
      <c r="F33" s="369">
        <f>WORKDAY(B2, 42)</f>
        <v>45539</v>
      </c>
      <c r="G33" s="368" t="s">
        <v>18</v>
      </c>
      <c r="H33" s="404">
        <v>0.5</v>
      </c>
      <c r="I33" s="370">
        <v>0.5208333333333334</v>
      </c>
      <c r="J33" s="368" t="s">
        <v>543</v>
      </c>
      <c r="K33" s="368"/>
      <c r="L33" s="373" t="s">
        <v>22</v>
      </c>
      <c r="M33" s="373" t="s">
        <v>22</v>
      </c>
      <c r="N33" s="373" t="s">
        <v>22</v>
      </c>
    </row>
    <row r="34" ht="75.0" customHeight="1">
      <c r="B34" s="349" t="s">
        <v>104</v>
      </c>
      <c r="C34" s="350" t="b">
        <v>1</v>
      </c>
      <c r="D34" s="329" t="s">
        <v>103</v>
      </c>
      <c r="E34" s="350" t="str">
        <f t="shared" si="5"/>
        <v>Wednesday</v>
      </c>
      <c r="F34" s="405">
        <f>WORKDAY(B2, 42)</f>
        <v>45539</v>
      </c>
      <c r="G34" s="329" t="s">
        <v>18</v>
      </c>
      <c r="H34" s="406">
        <v>0.5</v>
      </c>
      <c r="I34" s="407">
        <v>0.5208333333333334</v>
      </c>
      <c r="J34" s="351" t="s">
        <v>543</v>
      </c>
      <c r="K34" s="351" t="s">
        <v>94</v>
      </c>
      <c r="L34" s="356" t="s">
        <v>22</v>
      </c>
      <c r="M34" s="356" t="s">
        <v>22</v>
      </c>
      <c r="N34" s="403"/>
    </row>
    <row r="35" ht="75.0" customHeight="1">
      <c r="B35" s="367" t="s">
        <v>105</v>
      </c>
      <c r="C35" s="342" t="b">
        <v>1</v>
      </c>
      <c r="D35" s="368" t="s">
        <v>103</v>
      </c>
      <c r="E35" s="342" t="str">
        <f t="shared" si="5"/>
        <v>Thursday</v>
      </c>
      <c r="F35" s="369">
        <f>WORKDAY(B2,63)</f>
        <v>45568</v>
      </c>
      <c r="G35" s="368" t="s">
        <v>18</v>
      </c>
      <c r="H35" s="404">
        <v>0.5</v>
      </c>
      <c r="I35" s="370">
        <v>0.5208333333333334</v>
      </c>
      <c r="J35" s="368" t="s">
        <v>543</v>
      </c>
      <c r="K35" s="368"/>
      <c r="L35" s="373" t="s">
        <v>22</v>
      </c>
      <c r="M35" s="373" t="s">
        <v>22</v>
      </c>
      <c r="N35" s="373" t="s">
        <v>22</v>
      </c>
    </row>
    <row r="36">
      <c r="C36" s="408"/>
      <c r="G36" s="409"/>
      <c r="H36" s="409"/>
      <c r="I36" s="409"/>
      <c r="L36" s="410"/>
    </row>
    <row r="37">
      <c r="G37" s="409"/>
      <c r="H37" s="409"/>
      <c r="I37" s="409"/>
      <c r="L37" s="410"/>
    </row>
    <row r="38">
      <c r="G38" s="409"/>
      <c r="H38" s="409"/>
      <c r="I38" s="409"/>
      <c r="L38" s="410"/>
    </row>
    <row r="39">
      <c r="G39" s="409"/>
      <c r="H39" s="409"/>
      <c r="I39" s="409"/>
      <c r="L39" s="410"/>
    </row>
    <row r="40">
      <c r="G40" s="409"/>
      <c r="H40" s="409"/>
      <c r="I40" s="409"/>
      <c r="L40" s="410"/>
    </row>
    <row r="41">
      <c r="G41" s="409"/>
      <c r="H41" s="409"/>
      <c r="I41" s="409"/>
      <c r="L41" s="410"/>
    </row>
    <row r="42">
      <c r="G42" s="409"/>
      <c r="H42" s="409"/>
      <c r="I42" s="409"/>
      <c r="L42" s="410"/>
    </row>
    <row r="43">
      <c r="G43" s="409"/>
      <c r="H43" s="409"/>
      <c r="I43" s="409"/>
      <c r="L43" s="410"/>
    </row>
    <row r="44">
      <c r="G44" s="409"/>
      <c r="H44" s="409"/>
      <c r="I44" s="409"/>
      <c r="L44" s="410"/>
    </row>
    <row r="45">
      <c r="G45" s="409"/>
      <c r="H45" s="409"/>
      <c r="I45" s="409"/>
      <c r="L45" s="410"/>
    </row>
    <row r="46">
      <c r="G46" s="409"/>
      <c r="H46" s="409"/>
      <c r="I46" s="409"/>
      <c r="L46" s="410"/>
    </row>
    <row r="47">
      <c r="G47" s="409"/>
      <c r="H47" s="409"/>
      <c r="I47" s="409"/>
      <c r="L47" s="410"/>
    </row>
    <row r="48">
      <c r="G48" s="409"/>
      <c r="H48" s="409"/>
      <c r="I48" s="409"/>
      <c r="L48" s="410"/>
    </row>
    <row r="49">
      <c r="G49" s="409"/>
      <c r="H49" s="409"/>
      <c r="I49" s="409"/>
      <c r="L49" s="410"/>
    </row>
    <row r="50">
      <c r="G50" s="409"/>
      <c r="H50" s="409"/>
      <c r="I50" s="409"/>
      <c r="L50" s="410"/>
    </row>
    <row r="51">
      <c r="G51" s="409"/>
      <c r="H51" s="409"/>
      <c r="I51" s="409"/>
      <c r="L51" s="410"/>
    </row>
    <row r="52">
      <c r="G52" s="411"/>
      <c r="H52" s="411"/>
      <c r="I52" s="411"/>
      <c r="L52" s="410"/>
    </row>
    <row r="53">
      <c r="L53" s="410"/>
    </row>
    <row r="54">
      <c r="L54" s="410"/>
    </row>
    <row r="55">
      <c r="L55" s="410"/>
    </row>
    <row r="56">
      <c r="L56" s="410"/>
    </row>
    <row r="57">
      <c r="L57" s="410"/>
    </row>
    <row r="58">
      <c r="L58" s="410"/>
    </row>
    <row r="59">
      <c r="L59" s="410"/>
    </row>
    <row r="60">
      <c r="L60" s="410"/>
    </row>
    <row r="61">
      <c r="L61" s="410"/>
    </row>
    <row r="62">
      <c r="L62" s="410"/>
    </row>
    <row r="63">
      <c r="L63" s="410"/>
    </row>
    <row r="64">
      <c r="L64" s="410"/>
    </row>
    <row r="65">
      <c r="L65" s="410"/>
    </row>
    <row r="66">
      <c r="L66" s="410"/>
    </row>
    <row r="67">
      <c r="L67" s="410"/>
    </row>
    <row r="68">
      <c r="L68" s="410"/>
    </row>
    <row r="69">
      <c r="L69" s="410"/>
    </row>
    <row r="70">
      <c r="L70" s="410"/>
    </row>
    <row r="71">
      <c r="L71" s="410"/>
    </row>
    <row r="72">
      <c r="L72" s="410"/>
    </row>
    <row r="73">
      <c r="L73" s="410"/>
    </row>
    <row r="74">
      <c r="L74" s="410"/>
    </row>
    <row r="75">
      <c r="L75" s="410"/>
    </row>
    <row r="76">
      <c r="L76" s="410"/>
    </row>
    <row r="77">
      <c r="L77" s="410"/>
    </row>
    <row r="78">
      <c r="L78" s="410"/>
    </row>
    <row r="79">
      <c r="L79" s="410"/>
    </row>
    <row r="80">
      <c r="L80" s="410"/>
    </row>
    <row r="81">
      <c r="L81" s="410"/>
    </row>
    <row r="82">
      <c r="L82" s="410"/>
    </row>
    <row r="83">
      <c r="L83" s="410"/>
    </row>
    <row r="84">
      <c r="L84" s="410"/>
    </row>
    <row r="85">
      <c r="L85" s="410"/>
    </row>
    <row r="86">
      <c r="L86" s="410"/>
    </row>
    <row r="87">
      <c r="L87" s="410"/>
    </row>
    <row r="88">
      <c r="L88" s="410"/>
    </row>
    <row r="89">
      <c r="L89" s="410"/>
    </row>
    <row r="90">
      <c r="L90" s="410"/>
    </row>
    <row r="91">
      <c r="L91" s="410"/>
    </row>
    <row r="92">
      <c r="L92" s="410"/>
    </row>
    <row r="93">
      <c r="L93" s="410"/>
    </row>
    <row r="94">
      <c r="L94" s="410"/>
    </row>
    <row r="95">
      <c r="L95" s="410"/>
    </row>
    <row r="96">
      <c r="L96" s="410"/>
    </row>
    <row r="97">
      <c r="L97" s="410"/>
    </row>
    <row r="98">
      <c r="L98" s="410"/>
    </row>
    <row r="99">
      <c r="L99" s="410"/>
    </row>
    <row r="100">
      <c r="L100" s="410"/>
    </row>
    <row r="101">
      <c r="L101" s="410"/>
    </row>
    <row r="102">
      <c r="L102" s="410"/>
    </row>
    <row r="103">
      <c r="L103" s="410"/>
    </row>
    <row r="104">
      <c r="L104" s="410"/>
    </row>
    <row r="105">
      <c r="L105" s="410"/>
    </row>
    <row r="106">
      <c r="L106" s="410"/>
    </row>
    <row r="107">
      <c r="L107" s="410"/>
    </row>
    <row r="108">
      <c r="L108" s="410"/>
    </row>
    <row r="109">
      <c r="L109" s="410"/>
    </row>
    <row r="110">
      <c r="L110" s="410"/>
    </row>
    <row r="111">
      <c r="L111" s="410"/>
    </row>
    <row r="112">
      <c r="L112" s="410"/>
    </row>
    <row r="113">
      <c r="L113" s="410"/>
    </row>
    <row r="114">
      <c r="L114" s="410"/>
    </row>
    <row r="115">
      <c r="L115" s="410"/>
    </row>
    <row r="116">
      <c r="L116" s="410"/>
    </row>
    <row r="117">
      <c r="L117" s="410"/>
    </row>
    <row r="118">
      <c r="L118" s="410"/>
    </row>
    <row r="119">
      <c r="L119" s="410"/>
    </row>
    <row r="120">
      <c r="L120" s="410"/>
    </row>
    <row r="121">
      <c r="L121" s="410"/>
    </row>
    <row r="122">
      <c r="L122" s="410"/>
    </row>
    <row r="123">
      <c r="L123" s="410"/>
    </row>
    <row r="124">
      <c r="L124" s="410"/>
    </row>
    <row r="125">
      <c r="L125" s="410"/>
    </row>
    <row r="126">
      <c r="L126" s="410"/>
    </row>
    <row r="127">
      <c r="L127" s="410"/>
    </row>
    <row r="128">
      <c r="L128" s="410"/>
    </row>
    <row r="129">
      <c r="L129" s="410"/>
    </row>
    <row r="130">
      <c r="L130" s="410"/>
    </row>
    <row r="131">
      <c r="L131" s="410"/>
    </row>
    <row r="132">
      <c r="L132" s="410"/>
    </row>
    <row r="133">
      <c r="L133" s="410"/>
    </row>
    <row r="134">
      <c r="L134" s="410"/>
    </row>
    <row r="135">
      <c r="L135" s="410"/>
    </row>
    <row r="136">
      <c r="L136" s="410"/>
    </row>
    <row r="137">
      <c r="L137" s="410"/>
    </row>
    <row r="138">
      <c r="L138" s="410"/>
    </row>
    <row r="139">
      <c r="L139" s="410"/>
    </row>
    <row r="140">
      <c r="L140" s="410"/>
    </row>
    <row r="141">
      <c r="L141" s="410"/>
    </row>
    <row r="142">
      <c r="L142" s="410"/>
    </row>
    <row r="143">
      <c r="L143" s="410"/>
    </row>
    <row r="144">
      <c r="L144" s="410"/>
    </row>
    <row r="145">
      <c r="L145" s="410"/>
    </row>
    <row r="146">
      <c r="L146" s="410"/>
    </row>
    <row r="147">
      <c r="L147" s="410"/>
    </row>
    <row r="148">
      <c r="L148" s="410"/>
    </row>
    <row r="149">
      <c r="L149" s="410"/>
    </row>
    <row r="150">
      <c r="L150" s="410"/>
    </row>
    <row r="151">
      <c r="L151" s="410"/>
    </row>
    <row r="152">
      <c r="L152" s="410"/>
    </row>
    <row r="153">
      <c r="L153" s="410"/>
    </row>
    <row r="154">
      <c r="L154" s="410"/>
    </row>
    <row r="155">
      <c r="L155" s="410"/>
    </row>
    <row r="156">
      <c r="L156" s="410"/>
    </row>
    <row r="157">
      <c r="L157" s="410"/>
    </row>
    <row r="158">
      <c r="L158" s="410"/>
    </row>
    <row r="159">
      <c r="L159" s="410"/>
    </row>
    <row r="160">
      <c r="L160" s="410"/>
    </row>
    <row r="161">
      <c r="L161" s="410"/>
    </row>
    <row r="162">
      <c r="L162" s="410"/>
    </row>
    <row r="163">
      <c r="L163" s="410"/>
    </row>
    <row r="164">
      <c r="L164" s="410"/>
    </row>
    <row r="165">
      <c r="L165" s="410"/>
    </row>
    <row r="166">
      <c r="L166" s="410"/>
    </row>
    <row r="167">
      <c r="L167" s="410"/>
    </row>
    <row r="168">
      <c r="L168" s="410"/>
    </row>
    <row r="169">
      <c r="L169" s="410"/>
    </row>
    <row r="170">
      <c r="L170" s="410"/>
    </row>
    <row r="171">
      <c r="L171" s="410"/>
    </row>
    <row r="172">
      <c r="L172" s="410"/>
    </row>
    <row r="173">
      <c r="L173" s="410"/>
    </row>
    <row r="174">
      <c r="L174" s="410"/>
    </row>
    <row r="175">
      <c r="L175" s="410"/>
    </row>
    <row r="176">
      <c r="L176" s="410"/>
    </row>
    <row r="177">
      <c r="L177" s="410"/>
    </row>
    <row r="178">
      <c r="L178" s="410"/>
    </row>
    <row r="179">
      <c r="L179" s="410"/>
    </row>
    <row r="180">
      <c r="L180" s="410"/>
    </row>
    <row r="181">
      <c r="L181" s="410"/>
    </row>
    <row r="182">
      <c r="L182" s="410"/>
    </row>
    <row r="183">
      <c r="L183" s="410"/>
    </row>
    <row r="184">
      <c r="L184" s="410"/>
    </row>
    <row r="185">
      <c r="L185" s="410"/>
    </row>
    <row r="186">
      <c r="L186" s="410"/>
    </row>
    <row r="187">
      <c r="L187" s="410"/>
    </row>
    <row r="188">
      <c r="L188" s="410"/>
    </row>
    <row r="189">
      <c r="L189" s="410"/>
    </row>
    <row r="190">
      <c r="L190" s="410"/>
    </row>
    <row r="191">
      <c r="L191" s="410"/>
    </row>
    <row r="192">
      <c r="L192" s="410"/>
    </row>
    <row r="193">
      <c r="L193" s="410"/>
    </row>
    <row r="194">
      <c r="L194" s="410"/>
    </row>
    <row r="195">
      <c r="L195" s="410"/>
    </row>
    <row r="196">
      <c r="L196" s="410"/>
    </row>
    <row r="197">
      <c r="L197" s="410"/>
    </row>
    <row r="198">
      <c r="L198" s="410"/>
    </row>
    <row r="199">
      <c r="L199" s="410"/>
    </row>
    <row r="200">
      <c r="L200" s="410"/>
    </row>
    <row r="201">
      <c r="L201" s="410"/>
    </row>
    <row r="202">
      <c r="L202" s="410"/>
    </row>
    <row r="203">
      <c r="L203" s="410"/>
    </row>
    <row r="204">
      <c r="L204" s="410"/>
    </row>
    <row r="205">
      <c r="L205" s="410"/>
    </row>
    <row r="206">
      <c r="L206" s="410"/>
    </row>
    <row r="207">
      <c r="L207" s="410"/>
    </row>
    <row r="208">
      <c r="L208" s="410"/>
    </row>
    <row r="209">
      <c r="L209" s="410"/>
    </row>
    <row r="210">
      <c r="L210" s="410"/>
    </row>
    <row r="211">
      <c r="L211" s="410"/>
    </row>
    <row r="212">
      <c r="L212" s="410"/>
    </row>
    <row r="213">
      <c r="L213" s="410"/>
    </row>
    <row r="214">
      <c r="L214" s="410"/>
    </row>
    <row r="215">
      <c r="L215" s="410"/>
    </row>
    <row r="216">
      <c r="L216" s="410"/>
    </row>
    <row r="217">
      <c r="L217" s="410"/>
    </row>
    <row r="218">
      <c r="L218" s="410"/>
    </row>
    <row r="219">
      <c r="L219" s="410"/>
    </row>
    <row r="220">
      <c r="L220" s="410"/>
    </row>
    <row r="221">
      <c r="L221" s="410"/>
    </row>
    <row r="222">
      <c r="L222" s="410"/>
    </row>
    <row r="223">
      <c r="L223" s="410"/>
    </row>
    <row r="224">
      <c r="L224" s="410"/>
    </row>
    <row r="225">
      <c r="L225" s="410"/>
    </row>
    <row r="226">
      <c r="L226" s="410"/>
    </row>
    <row r="227">
      <c r="L227" s="410"/>
    </row>
    <row r="228">
      <c r="L228" s="410"/>
    </row>
    <row r="229">
      <c r="L229" s="410"/>
    </row>
    <row r="230">
      <c r="L230" s="410"/>
    </row>
    <row r="231">
      <c r="L231" s="410"/>
    </row>
    <row r="232">
      <c r="L232" s="410"/>
    </row>
    <row r="233">
      <c r="L233" s="410"/>
    </row>
    <row r="234">
      <c r="L234" s="410"/>
    </row>
    <row r="235">
      <c r="L235" s="410"/>
    </row>
    <row r="236">
      <c r="L236" s="410"/>
    </row>
    <row r="237">
      <c r="L237" s="410"/>
    </row>
    <row r="238">
      <c r="L238" s="410"/>
    </row>
    <row r="239">
      <c r="L239" s="410"/>
    </row>
    <row r="240">
      <c r="L240" s="410"/>
    </row>
    <row r="241">
      <c r="L241" s="410"/>
    </row>
    <row r="242">
      <c r="L242" s="410"/>
    </row>
    <row r="243">
      <c r="L243" s="410"/>
    </row>
    <row r="244">
      <c r="L244" s="410"/>
    </row>
    <row r="245">
      <c r="L245" s="410"/>
    </row>
    <row r="246">
      <c r="L246" s="410"/>
    </row>
    <row r="247">
      <c r="L247" s="410"/>
    </row>
    <row r="248">
      <c r="L248" s="410"/>
    </row>
    <row r="249">
      <c r="L249" s="410"/>
    </row>
    <row r="250">
      <c r="L250" s="410"/>
    </row>
    <row r="251">
      <c r="L251" s="410"/>
    </row>
    <row r="252">
      <c r="L252" s="410"/>
    </row>
    <row r="253">
      <c r="L253" s="410"/>
    </row>
    <row r="254">
      <c r="L254" s="410"/>
    </row>
    <row r="255">
      <c r="L255" s="410"/>
    </row>
    <row r="256">
      <c r="L256" s="410"/>
    </row>
    <row r="257">
      <c r="L257" s="410"/>
    </row>
    <row r="258">
      <c r="L258" s="410"/>
    </row>
    <row r="259">
      <c r="L259" s="410"/>
    </row>
    <row r="260">
      <c r="L260" s="410"/>
    </row>
    <row r="261">
      <c r="L261" s="410"/>
    </row>
    <row r="262">
      <c r="L262" s="410"/>
    </row>
    <row r="263">
      <c r="L263" s="410"/>
    </row>
    <row r="264">
      <c r="L264" s="410"/>
    </row>
    <row r="265">
      <c r="L265" s="410"/>
    </row>
    <row r="266">
      <c r="L266" s="410"/>
    </row>
    <row r="267">
      <c r="L267" s="410"/>
    </row>
    <row r="268">
      <c r="L268" s="410"/>
    </row>
    <row r="269">
      <c r="L269" s="410"/>
    </row>
    <row r="270">
      <c r="L270" s="410"/>
    </row>
    <row r="271">
      <c r="L271" s="410"/>
    </row>
    <row r="272">
      <c r="L272" s="410"/>
    </row>
    <row r="273">
      <c r="L273" s="410"/>
    </row>
    <row r="274">
      <c r="L274" s="410"/>
    </row>
    <row r="275">
      <c r="L275" s="410"/>
    </row>
    <row r="276">
      <c r="L276" s="410"/>
    </row>
    <row r="277">
      <c r="L277" s="410"/>
    </row>
    <row r="278">
      <c r="L278" s="410"/>
    </row>
    <row r="279">
      <c r="L279" s="410"/>
    </row>
    <row r="280">
      <c r="L280" s="410"/>
    </row>
    <row r="281">
      <c r="L281" s="410"/>
    </row>
    <row r="282">
      <c r="L282" s="410"/>
    </row>
    <row r="283">
      <c r="L283" s="410"/>
    </row>
    <row r="284">
      <c r="L284" s="410"/>
    </row>
    <row r="285">
      <c r="L285" s="410"/>
    </row>
    <row r="286">
      <c r="L286" s="410"/>
    </row>
    <row r="287">
      <c r="L287" s="410"/>
    </row>
    <row r="288">
      <c r="L288" s="410"/>
    </row>
    <row r="289">
      <c r="L289" s="410"/>
    </row>
    <row r="290">
      <c r="L290" s="410"/>
    </row>
    <row r="291">
      <c r="L291" s="410"/>
    </row>
    <row r="292">
      <c r="L292" s="410"/>
    </row>
    <row r="293">
      <c r="L293" s="410"/>
    </row>
    <row r="294">
      <c r="L294" s="410"/>
    </row>
    <row r="295">
      <c r="L295" s="410"/>
    </row>
    <row r="296">
      <c r="L296" s="410"/>
    </row>
    <row r="297">
      <c r="L297" s="410"/>
    </row>
    <row r="298">
      <c r="L298" s="410"/>
    </row>
    <row r="299">
      <c r="L299" s="410"/>
    </row>
    <row r="300">
      <c r="L300" s="410"/>
    </row>
    <row r="301">
      <c r="L301" s="410"/>
    </row>
    <row r="302">
      <c r="L302" s="410"/>
    </row>
    <row r="303">
      <c r="L303" s="410"/>
    </row>
    <row r="304">
      <c r="L304" s="410"/>
    </row>
    <row r="305">
      <c r="L305" s="410"/>
    </row>
    <row r="306">
      <c r="L306" s="410"/>
    </row>
    <row r="307">
      <c r="L307" s="410"/>
    </row>
    <row r="308">
      <c r="L308" s="410"/>
    </row>
    <row r="309">
      <c r="L309" s="410"/>
    </row>
    <row r="310">
      <c r="L310" s="410"/>
    </row>
    <row r="311">
      <c r="L311" s="410"/>
    </row>
    <row r="312">
      <c r="L312" s="410"/>
    </row>
    <row r="313">
      <c r="L313" s="410"/>
    </row>
    <row r="314">
      <c r="L314" s="410"/>
    </row>
    <row r="315">
      <c r="L315" s="410"/>
    </row>
    <row r="316">
      <c r="L316" s="410"/>
    </row>
    <row r="317">
      <c r="L317" s="410"/>
    </row>
    <row r="318">
      <c r="L318" s="410"/>
    </row>
    <row r="319">
      <c r="L319" s="410"/>
    </row>
    <row r="320">
      <c r="L320" s="410"/>
    </row>
    <row r="321">
      <c r="L321" s="410"/>
    </row>
    <row r="322">
      <c r="L322" s="410"/>
    </row>
    <row r="323">
      <c r="L323" s="410"/>
    </row>
    <row r="324">
      <c r="L324" s="410"/>
    </row>
    <row r="325">
      <c r="L325" s="410"/>
    </row>
    <row r="326">
      <c r="L326" s="410"/>
    </row>
    <row r="327">
      <c r="L327" s="410"/>
    </row>
    <row r="328">
      <c r="L328" s="410"/>
    </row>
    <row r="329">
      <c r="L329" s="410"/>
    </row>
    <row r="330">
      <c r="L330" s="410"/>
    </row>
    <row r="331">
      <c r="L331" s="410"/>
    </row>
    <row r="332">
      <c r="L332" s="410"/>
    </row>
    <row r="333">
      <c r="L333" s="410"/>
    </row>
    <row r="334">
      <c r="L334" s="410"/>
    </row>
    <row r="335">
      <c r="L335" s="410"/>
    </row>
    <row r="336">
      <c r="L336" s="410"/>
    </row>
    <row r="337">
      <c r="L337" s="410"/>
    </row>
    <row r="338">
      <c r="L338" s="410"/>
    </row>
    <row r="339">
      <c r="L339" s="410"/>
    </row>
    <row r="340">
      <c r="L340" s="410"/>
    </row>
    <row r="341">
      <c r="L341" s="410"/>
    </row>
    <row r="342">
      <c r="L342" s="410"/>
    </row>
    <row r="343">
      <c r="L343" s="410"/>
    </row>
    <row r="344">
      <c r="L344" s="410"/>
    </row>
    <row r="345">
      <c r="L345" s="410"/>
    </row>
    <row r="346">
      <c r="L346" s="410"/>
    </row>
    <row r="347">
      <c r="L347" s="410"/>
    </row>
    <row r="348">
      <c r="L348" s="410"/>
    </row>
    <row r="349">
      <c r="L349" s="410"/>
    </row>
    <row r="350">
      <c r="L350" s="410"/>
    </row>
    <row r="351">
      <c r="L351" s="410"/>
    </row>
    <row r="352">
      <c r="L352" s="410"/>
    </row>
    <row r="353">
      <c r="L353" s="410"/>
    </row>
    <row r="354">
      <c r="L354" s="410"/>
    </row>
    <row r="355">
      <c r="L355" s="410"/>
    </row>
    <row r="356">
      <c r="L356" s="410"/>
    </row>
    <row r="357">
      <c r="L357" s="410"/>
    </row>
    <row r="358">
      <c r="L358" s="410"/>
    </row>
    <row r="359">
      <c r="L359" s="410"/>
    </row>
    <row r="360">
      <c r="L360" s="410"/>
    </row>
    <row r="361">
      <c r="L361" s="410"/>
    </row>
    <row r="362">
      <c r="L362" s="410"/>
    </row>
    <row r="363">
      <c r="L363" s="410"/>
    </row>
    <row r="364">
      <c r="L364" s="410"/>
    </row>
    <row r="365">
      <c r="L365" s="410"/>
    </row>
    <row r="366">
      <c r="L366" s="410"/>
    </row>
    <row r="367">
      <c r="L367" s="410"/>
    </row>
    <row r="368">
      <c r="L368" s="410"/>
    </row>
    <row r="369">
      <c r="L369" s="410"/>
    </row>
    <row r="370">
      <c r="L370" s="410"/>
    </row>
    <row r="371">
      <c r="L371" s="410"/>
    </row>
    <row r="372">
      <c r="L372" s="410"/>
    </row>
    <row r="373">
      <c r="L373" s="410"/>
    </row>
    <row r="374">
      <c r="L374" s="410"/>
    </row>
    <row r="375">
      <c r="L375" s="410"/>
    </row>
    <row r="376">
      <c r="L376" s="410"/>
    </row>
    <row r="377">
      <c r="L377" s="410"/>
    </row>
    <row r="378">
      <c r="L378" s="410"/>
    </row>
    <row r="379">
      <c r="L379" s="410"/>
    </row>
    <row r="380">
      <c r="L380" s="410"/>
    </row>
    <row r="381">
      <c r="L381" s="410"/>
    </row>
    <row r="382">
      <c r="L382" s="410"/>
    </row>
    <row r="383">
      <c r="L383" s="410"/>
    </row>
    <row r="384">
      <c r="L384" s="410"/>
    </row>
    <row r="385">
      <c r="L385" s="410"/>
    </row>
    <row r="386">
      <c r="L386" s="410"/>
    </row>
    <row r="387">
      <c r="L387" s="410"/>
    </row>
    <row r="388">
      <c r="L388" s="410"/>
    </row>
    <row r="389">
      <c r="L389" s="410"/>
    </row>
    <row r="390">
      <c r="L390" s="410"/>
    </row>
    <row r="391">
      <c r="L391" s="410"/>
    </row>
    <row r="392">
      <c r="L392" s="410"/>
    </row>
    <row r="393">
      <c r="L393" s="410"/>
    </row>
    <row r="394">
      <c r="L394" s="410"/>
    </row>
    <row r="395">
      <c r="L395" s="410"/>
    </row>
    <row r="396">
      <c r="L396" s="410"/>
    </row>
    <row r="397">
      <c r="L397" s="410"/>
    </row>
    <row r="398">
      <c r="L398" s="410"/>
    </row>
    <row r="399">
      <c r="L399" s="410"/>
    </row>
    <row r="400">
      <c r="L400" s="410"/>
    </row>
    <row r="401">
      <c r="L401" s="410"/>
    </row>
    <row r="402">
      <c r="L402" s="410"/>
    </row>
    <row r="403">
      <c r="L403" s="410"/>
    </row>
    <row r="404">
      <c r="L404" s="410"/>
    </row>
    <row r="405">
      <c r="L405" s="410"/>
    </row>
    <row r="406">
      <c r="L406" s="410"/>
    </row>
    <row r="407">
      <c r="L407" s="410"/>
    </row>
    <row r="408">
      <c r="L408" s="410"/>
    </row>
    <row r="409">
      <c r="L409" s="410"/>
    </row>
    <row r="410">
      <c r="L410" s="410"/>
    </row>
    <row r="411">
      <c r="L411" s="410"/>
    </row>
    <row r="412">
      <c r="L412" s="410"/>
    </row>
    <row r="413">
      <c r="L413" s="410"/>
    </row>
    <row r="414">
      <c r="L414" s="410"/>
    </row>
    <row r="415">
      <c r="L415" s="410"/>
    </row>
    <row r="416">
      <c r="L416" s="410"/>
    </row>
    <row r="417">
      <c r="L417" s="410"/>
    </row>
    <row r="418">
      <c r="L418" s="410"/>
    </row>
    <row r="419">
      <c r="L419" s="410"/>
    </row>
    <row r="420">
      <c r="L420" s="410"/>
    </row>
    <row r="421">
      <c r="L421" s="410"/>
    </row>
    <row r="422">
      <c r="L422" s="410"/>
    </row>
    <row r="423">
      <c r="L423" s="410"/>
    </row>
    <row r="424">
      <c r="L424" s="410"/>
    </row>
    <row r="425">
      <c r="L425" s="410"/>
    </row>
    <row r="426">
      <c r="L426" s="410"/>
    </row>
    <row r="427">
      <c r="L427" s="410"/>
    </row>
    <row r="428">
      <c r="L428" s="410"/>
    </row>
    <row r="429">
      <c r="L429" s="410"/>
    </row>
    <row r="430">
      <c r="L430" s="410"/>
    </row>
    <row r="431">
      <c r="L431" s="410"/>
    </row>
    <row r="432">
      <c r="L432" s="410"/>
    </row>
    <row r="433">
      <c r="L433" s="410"/>
    </row>
    <row r="434">
      <c r="L434" s="410"/>
    </row>
    <row r="435">
      <c r="L435" s="410"/>
    </row>
    <row r="436">
      <c r="L436" s="410"/>
    </row>
    <row r="437">
      <c r="L437" s="410"/>
    </row>
    <row r="438">
      <c r="L438" s="410"/>
    </row>
    <row r="439">
      <c r="L439" s="410"/>
    </row>
    <row r="440">
      <c r="L440" s="410"/>
    </row>
    <row r="441">
      <c r="L441" s="410"/>
    </row>
    <row r="442">
      <c r="L442" s="410"/>
    </row>
    <row r="443">
      <c r="L443" s="410"/>
    </row>
    <row r="444">
      <c r="L444" s="410"/>
    </row>
    <row r="445">
      <c r="L445" s="410"/>
    </row>
    <row r="446">
      <c r="L446" s="410"/>
    </row>
    <row r="447">
      <c r="L447" s="410"/>
    </row>
    <row r="448">
      <c r="L448" s="410"/>
    </row>
    <row r="449">
      <c r="L449" s="410"/>
    </row>
    <row r="450">
      <c r="L450" s="410"/>
    </row>
    <row r="451">
      <c r="L451" s="410"/>
    </row>
    <row r="452">
      <c r="L452" s="410"/>
    </row>
    <row r="453">
      <c r="L453" s="410"/>
    </row>
    <row r="454">
      <c r="L454" s="410"/>
    </row>
    <row r="455">
      <c r="L455" s="410"/>
    </row>
    <row r="456">
      <c r="L456" s="410"/>
    </row>
    <row r="457">
      <c r="L457" s="410"/>
    </row>
    <row r="458">
      <c r="L458" s="410"/>
    </row>
    <row r="459">
      <c r="L459" s="410"/>
    </row>
    <row r="460">
      <c r="L460" s="410"/>
    </row>
    <row r="461">
      <c r="L461" s="410"/>
    </row>
    <row r="462">
      <c r="L462" s="410"/>
    </row>
    <row r="463">
      <c r="L463" s="410"/>
    </row>
    <row r="464">
      <c r="L464" s="410"/>
    </row>
    <row r="465">
      <c r="L465" s="410"/>
    </row>
    <row r="466">
      <c r="L466" s="410"/>
    </row>
    <row r="467">
      <c r="L467" s="410"/>
    </row>
    <row r="468">
      <c r="L468" s="410"/>
    </row>
    <row r="469">
      <c r="L469" s="410"/>
    </row>
    <row r="470">
      <c r="L470" s="410"/>
    </row>
    <row r="471">
      <c r="L471" s="410"/>
    </row>
    <row r="472">
      <c r="L472" s="410"/>
    </row>
    <row r="473">
      <c r="L473" s="410"/>
    </row>
    <row r="474">
      <c r="L474" s="410"/>
    </row>
    <row r="475">
      <c r="L475" s="410"/>
    </row>
    <row r="476">
      <c r="L476" s="410"/>
    </row>
    <row r="477">
      <c r="L477" s="410"/>
    </row>
    <row r="478">
      <c r="L478" s="410"/>
    </row>
    <row r="479">
      <c r="L479" s="410"/>
    </row>
    <row r="480">
      <c r="L480" s="410"/>
    </row>
    <row r="481">
      <c r="L481" s="410"/>
    </row>
    <row r="482">
      <c r="L482" s="410"/>
    </row>
    <row r="483">
      <c r="L483" s="410"/>
    </row>
    <row r="484">
      <c r="L484" s="410"/>
    </row>
    <row r="485">
      <c r="L485" s="410"/>
    </row>
    <row r="486">
      <c r="L486" s="410"/>
    </row>
    <row r="487">
      <c r="L487" s="410"/>
    </row>
    <row r="488">
      <c r="L488" s="410"/>
    </row>
    <row r="489">
      <c r="L489" s="410"/>
    </row>
    <row r="490">
      <c r="L490" s="410"/>
    </row>
    <row r="491">
      <c r="L491" s="410"/>
    </row>
    <row r="492">
      <c r="L492" s="410"/>
    </row>
    <row r="493">
      <c r="L493" s="410"/>
    </row>
    <row r="494">
      <c r="L494" s="410"/>
    </row>
    <row r="495">
      <c r="L495" s="410"/>
    </row>
    <row r="496">
      <c r="L496" s="410"/>
    </row>
    <row r="497">
      <c r="L497" s="410"/>
    </row>
    <row r="498">
      <c r="L498" s="410"/>
    </row>
    <row r="499">
      <c r="L499" s="410"/>
    </row>
    <row r="500">
      <c r="L500" s="410"/>
    </row>
    <row r="501">
      <c r="L501" s="410"/>
    </row>
    <row r="502">
      <c r="L502" s="410"/>
    </row>
    <row r="503">
      <c r="L503" s="410"/>
    </row>
    <row r="504">
      <c r="L504" s="410"/>
    </row>
    <row r="505">
      <c r="L505" s="410"/>
    </row>
    <row r="506">
      <c r="L506" s="410"/>
    </row>
    <row r="507">
      <c r="L507" s="410"/>
    </row>
    <row r="508">
      <c r="L508" s="410"/>
    </row>
    <row r="509">
      <c r="L509" s="410"/>
    </row>
    <row r="510">
      <c r="L510" s="410"/>
    </row>
    <row r="511">
      <c r="L511" s="410"/>
    </row>
    <row r="512">
      <c r="L512" s="410"/>
    </row>
    <row r="513">
      <c r="L513" s="410"/>
    </row>
    <row r="514">
      <c r="L514" s="410"/>
    </row>
    <row r="515">
      <c r="L515" s="410"/>
    </row>
    <row r="516">
      <c r="L516" s="410"/>
    </row>
    <row r="517">
      <c r="L517" s="410"/>
    </row>
    <row r="518">
      <c r="L518" s="410"/>
    </row>
    <row r="519">
      <c r="L519" s="410"/>
    </row>
    <row r="520">
      <c r="L520" s="410"/>
    </row>
    <row r="521">
      <c r="L521" s="410"/>
    </row>
    <row r="522">
      <c r="L522" s="410"/>
    </row>
    <row r="523">
      <c r="L523" s="410"/>
    </row>
    <row r="524">
      <c r="L524" s="410"/>
    </row>
    <row r="525">
      <c r="L525" s="410"/>
    </row>
    <row r="526">
      <c r="L526" s="410"/>
    </row>
    <row r="527">
      <c r="L527" s="410"/>
    </row>
    <row r="528">
      <c r="L528" s="410"/>
    </row>
    <row r="529">
      <c r="L529" s="410"/>
    </row>
    <row r="530">
      <c r="L530" s="410"/>
    </row>
    <row r="531">
      <c r="L531" s="410"/>
    </row>
    <row r="532">
      <c r="L532" s="410"/>
    </row>
    <row r="533">
      <c r="L533" s="410"/>
    </row>
    <row r="534">
      <c r="L534" s="410"/>
    </row>
    <row r="535">
      <c r="L535" s="410"/>
    </row>
    <row r="536">
      <c r="L536" s="410"/>
    </row>
    <row r="537">
      <c r="L537" s="410"/>
    </row>
    <row r="538">
      <c r="L538" s="410"/>
    </row>
    <row r="539">
      <c r="L539" s="410"/>
    </row>
    <row r="540">
      <c r="L540" s="410"/>
    </row>
    <row r="541">
      <c r="L541" s="410"/>
    </row>
    <row r="542">
      <c r="L542" s="410"/>
    </row>
    <row r="543">
      <c r="L543" s="410"/>
    </row>
    <row r="544">
      <c r="L544" s="410"/>
    </row>
    <row r="545">
      <c r="L545" s="410"/>
    </row>
    <row r="546">
      <c r="L546" s="410"/>
    </row>
    <row r="547">
      <c r="L547" s="410"/>
    </row>
    <row r="548">
      <c r="L548" s="410"/>
    </row>
    <row r="549">
      <c r="L549" s="410"/>
    </row>
    <row r="550">
      <c r="L550" s="410"/>
    </row>
    <row r="551">
      <c r="L551" s="410"/>
    </row>
    <row r="552">
      <c r="L552" s="410"/>
    </row>
    <row r="553">
      <c r="L553" s="410"/>
    </row>
    <row r="554">
      <c r="L554" s="410"/>
    </row>
    <row r="555">
      <c r="L555" s="410"/>
    </row>
    <row r="556">
      <c r="L556" s="410"/>
    </row>
    <row r="557">
      <c r="L557" s="410"/>
    </row>
    <row r="558">
      <c r="L558" s="410"/>
    </row>
    <row r="559">
      <c r="L559" s="410"/>
    </row>
    <row r="560">
      <c r="L560" s="410"/>
    </row>
    <row r="561">
      <c r="L561" s="410"/>
    </row>
    <row r="562">
      <c r="L562" s="410"/>
    </row>
    <row r="563">
      <c r="L563" s="410"/>
    </row>
    <row r="564">
      <c r="L564" s="410"/>
    </row>
    <row r="565">
      <c r="L565" s="410"/>
    </row>
    <row r="566">
      <c r="L566" s="410"/>
    </row>
    <row r="567">
      <c r="L567" s="410"/>
    </row>
    <row r="568">
      <c r="L568" s="410"/>
    </row>
    <row r="569">
      <c r="L569" s="410"/>
    </row>
    <row r="570">
      <c r="L570" s="410"/>
    </row>
    <row r="571">
      <c r="L571" s="410"/>
    </row>
    <row r="572">
      <c r="L572" s="410"/>
    </row>
    <row r="573">
      <c r="L573" s="410"/>
    </row>
    <row r="574">
      <c r="L574" s="410"/>
    </row>
    <row r="575">
      <c r="L575" s="410"/>
    </row>
    <row r="576">
      <c r="L576" s="410"/>
    </row>
    <row r="577">
      <c r="L577" s="410"/>
    </row>
    <row r="578">
      <c r="L578" s="410"/>
    </row>
    <row r="579">
      <c r="L579" s="410"/>
    </row>
    <row r="580">
      <c r="L580" s="410"/>
    </row>
    <row r="581">
      <c r="L581" s="410"/>
    </row>
    <row r="582">
      <c r="L582" s="410"/>
    </row>
    <row r="583">
      <c r="L583" s="410"/>
    </row>
    <row r="584">
      <c r="L584" s="410"/>
    </row>
    <row r="585">
      <c r="L585" s="410"/>
    </row>
    <row r="586">
      <c r="L586" s="410"/>
    </row>
    <row r="587">
      <c r="L587" s="410"/>
    </row>
    <row r="588">
      <c r="L588" s="410"/>
    </row>
    <row r="589">
      <c r="L589" s="410"/>
    </row>
    <row r="590">
      <c r="L590" s="410"/>
    </row>
    <row r="591">
      <c r="L591" s="410"/>
    </row>
    <row r="592">
      <c r="L592" s="410"/>
    </row>
    <row r="593">
      <c r="L593" s="410"/>
    </row>
    <row r="594">
      <c r="L594" s="410"/>
    </row>
    <row r="595">
      <c r="L595" s="410"/>
    </row>
    <row r="596">
      <c r="L596" s="410"/>
    </row>
    <row r="597">
      <c r="L597" s="410"/>
    </row>
    <row r="598">
      <c r="L598" s="410"/>
    </row>
    <row r="599">
      <c r="L599" s="410"/>
    </row>
    <row r="600">
      <c r="L600" s="410"/>
    </row>
    <row r="601">
      <c r="L601" s="410"/>
    </row>
    <row r="602">
      <c r="L602" s="410"/>
    </row>
    <row r="603">
      <c r="L603" s="410"/>
    </row>
    <row r="604">
      <c r="L604" s="410"/>
    </row>
    <row r="605">
      <c r="L605" s="410"/>
    </row>
    <row r="606">
      <c r="L606" s="410"/>
    </row>
    <row r="607">
      <c r="L607" s="410"/>
    </row>
    <row r="608">
      <c r="L608" s="410"/>
    </row>
    <row r="609">
      <c r="L609" s="410"/>
    </row>
    <row r="610">
      <c r="L610" s="410"/>
    </row>
    <row r="611">
      <c r="L611" s="410"/>
    </row>
    <row r="612">
      <c r="L612" s="410"/>
    </row>
    <row r="613">
      <c r="L613" s="410"/>
    </row>
    <row r="614">
      <c r="L614" s="410"/>
    </row>
    <row r="615">
      <c r="L615" s="410"/>
    </row>
    <row r="616">
      <c r="L616" s="410"/>
    </row>
    <row r="617">
      <c r="L617" s="410"/>
    </row>
    <row r="618">
      <c r="L618" s="410"/>
    </row>
    <row r="619">
      <c r="L619" s="410"/>
    </row>
    <row r="620">
      <c r="L620" s="410"/>
    </row>
    <row r="621">
      <c r="L621" s="410"/>
    </row>
    <row r="622">
      <c r="L622" s="410"/>
    </row>
    <row r="623">
      <c r="L623" s="410"/>
    </row>
    <row r="624">
      <c r="L624" s="410"/>
    </row>
    <row r="625">
      <c r="L625" s="410"/>
    </row>
    <row r="626">
      <c r="L626" s="410"/>
    </row>
    <row r="627">
      <c r="L627" s="410"/>
    </row>
    <row r="628">
      <c r="L628" s="410"/>
    </row>
    <row r="629">
      <c r="L629" s="410"/>
    </row>
    <row r="630">
      <c r="L630" s="410"/>
    </row>
    <row r="631">
      <c r="L631" s="410"/>
    </row>
    <row r="632">
      <c r="L632" s="410"/>
    </row>
    <row r="633">
      <c r="L633" s="410"/>
    </row>
    <row r="634">
      <c r="L634" s="410"/>
    </row>
    <row r="635">
      <c r="L635" s="410"/>
    </row>
    <row r="636">
      <c r="L636" s="410"/>
    </row>
    <row r="637">
      <c r="L637" s="410"/>
    </row>
    <row r="638">
      <c r="L638" s="410"/>
    </row>
    <row r="639">
      <c r="L639" s="410"/>
    </row>
    <row r="640">
      <c r="L640" s="410"/>
    </row>
    <row r="641">
      <c r="L641" s="410"/>
    </row>
    <row r="642">
      <c r="L642" s="410"/>
    </row>
    <row r="643">
      <c r="L643" s="410"/>
    </row>
    <row r="644">
      <c r="L644" s="410"/>
    </row>
    <row r="645">
      <c r="L645" s="410"/>
    </row>
    <row r="646">
      <c r="L646" s="410"/>
    </row>
    <row r="647">
      <c r="L647" s="410"/>
    </row>
    <row r="648">
      <c r="L648" s="410"/>
    </row>
    <row r="649">
      <c r="L649" s="410"/>
    </row>
    <row r="650">
      <c r="L650" s="410"/>
    </row>
    <row r="651">
      <c r="L651" s="410"/>
    </row>
    <row r="652">
      <c r="L652" s="410"/>
    </row>
    <row r="653">
      <c r="L653" s="410"/>
    </row>
    <row r="654">
      <c r="L654" s="410"/>
    </row>
    <row r="655">
      <c r="L655" s="410"/>
    </row>
    <row r="656">
      <c r="L656" s="410"/>
    </row>
    <row r="657">
      <c r="L657" s="410"/>
    </row>
    <row r="658">
      <c r="L658" s="410"/>
    </row>
    <row r="659">
      <c r="L659" s="410"/>
    </row>
    <row r="660">
      <c r="L660" s="410"/>
    </row>
    <row r="661">
      <c r="L661" s="410"/>
    </row>
    <row r="662">
      <c r="L662" s="410"/>
    </row>
    <row r="663">
      <c r="L663" s="410"/>
    </row>
    <row r="664">
      <c r="L664" s="410"/>
    </row>
    <row r="665">
      <c r="L665" s="410"/>
    </row>
    <row r="666">
      <c r="L666" s="410"/>
    </row>
    <row r="667">
      <c r="L667" s="410"/>
    </row>
    <row r="668">
      <c r="L668" s="410"/>
    </row>
    <row r="669">
      <c r="L669" s="410"/>
    </row>
    <row r="670">
      <c r="L670" s="410"/>
    </row>
    <row r="671">
      <c r="L671" s="410"/>
    </row>
    <row r="672">
      <c r="L672" s="410"/>
    </row>
    <row r="673">
      <c r="L673" s="410"/>
    </row>
    <row r="674">
      <c r="L674" s="410"/>
    </row>
    <row r="675">
      <c r="L675" s="410"/>
    </row>
    <row r="676">
      <c r="L676" s="410"/>
    </row>
    <row r="677">
      <c r="L677" s="410"/>
    </row>
    <row r="678">
      <c r="L678" s="410"/>
    </row>
    <row r="679">
      <c r="L679" s="410"/>
    </row>
    <row r="680">
      <c r="L680" s="410"/>
    </row>
    <row r="681">
      <c r="L681" s="410"/>
    </row>
    <row r="682">
      <c r="L682" s="410"/>
    </row>
    <row r="683">
      <c r="L683" s="410"/>
    </row>
    <row r="684">
      <c r="L684" s="410"/>
    </row>
    <row r="685">
      <c r="L685" s="410"/>
    </row>
    <row r="686">
      <c r="L686" s="410"/>
    </row>
    <row r="687">
      <c r="L687" s="410"/>
    </row>
    <row r="688">
      <c r="L688" s="410"/>
    </row>
    <row r="689">
      <c r="L689" s="410"/>
    </row>
    <row r="690">
      <c r="L690" s="410"/>
    </row>
    <row r="691">
      <c r="L691" s="410"/>
    </row>
    <row r="692">
      <c r="L692" s="410"/>
    </row>
    <row r="693">
      <c r="L693" s="410"/>
    </row>
    <row r="694">
      <c r="L694" s="410"/>
    </row>
    <row r="695">
      <c r="L695" s="410"/>
    </row>
    <row r="696">
      <c r="L696" s="410"/>
    </row>
    <row r="697">
      <c r="L697" s="410"/>
    </row>
    <row r="698">
      <c r="L698" s="410"/>
    </row>
    <row r="699">
      <c r="L699" s="410"/>
    </row>
    <row r="700">
      <c r="L700" s="410"/>
    </row>
    <row r="701">
      <c r="L701" s="410"/>
    </row>
    <row r="702">
      <c r="L702" s="410"/>
    </row>
    <row r="703">
      <c r="L703" s="410"/>
    </row>
    <row r="704">
      <c r="L704" s="410"/>
    </row>
    <row r="705">
      <c r="L705" s="410"/>
    </row>
    <row r="706">
      <c r="L706" s="410"/>
    </row>
    <row r="707">
      <c r="L707" s="410"/>
    </row>
    <row r="708">
      <c r="L708" s="410"/>
    </row>
    <row r="709">
      <c r="L709" s="410"/>
    </row>
    <row r="710">
      <c r="L710" s="410"/>
    </row>
    <row r="711">
      <c r="L711" s="410"/>
    </row>
    <row r="712">
      <c r="L712" s="410"/>
    </row>
    <row r="713">
      <c r="L713" s="410"/>
    </row>
    <row r="714">
      <c r="L714" s="410"/>
    </row>
    <row r="715">
      <c r="L715" s="410"/>
    </row>
    <row r="716">
      <c r="L716" s="410"/>
    </row>
    <row r="717">
      <c r="L717" s="410"/>
    </row>
    <row r="718">
      <c r="L718" s="410"/>
    </row>
    <row r="719">
      <c r="L719" s="410"/>
    </row>
    <row r="720">
      <c r="L720" s="410"/>
    </row>
    <row r="721">
      <c r="L721" s="410"/>
    </row>
    <row r="722">
      <c r="L722" s="410"/>
    </row>
    <row r="723">
      <c r="L723" s="410"/>
    </row>
    <row r="724">
      <c r="L724" s="410"/>
    </row>
    <row r="725">
      <c r="L725" s="410"/>
    </row>
    <row r="726">
      <c r="L726" s="410"/>
    </row>
    <row r="727">
      <c r="L727" s="410"/>
    </row>
    <row r="728">
      <c r="L728" s="410"/>
    </row>
    <row r="729">
      <c r="L729" s="410"/>
    </row>
    <row r="730">
      <c r="L730" s="410"/>
    </row>
    <row r="731">
      <c r="L731" s="410"/>
    </row>
    <row r="732">
      <c r="L732" s="410"/>
    </row>
    <row r="733">
      <c r="L733" s="410"/>
    </row>
    <row r="734">
      <c r="L734" s="410"/>
    </row>
    <row r="735">
      <c r="L735" s="410"/>
    </row>
    <row r="736">
      <c r="L736" s="410"/>
    </row>
    <row r="737">
      <c r="L737" s="410"/>
    </row>
    <row r="738">
      <c r="L738" s="410"/>
    </row>
    <row r="739">
      <c r="L739" s="410"/>
    </row>
    <row r="740">
      <c r="L740" s="410"/>
    </row>
    <row r="741">
      <c r="L741" s="410"/>
    </row>
    <row r="742">
      <c r="L742" s="410"/>
    </row>
    <row r="743">
      <c r="L743" s="410"/>
    </row>
    <row r="744">
      <c r="L744" s="410"/>
    </row>
    <row r="745">
      <c r="L745" s="410"/>
    </row>
    <row r="746">
      <c r="L746" s="410"/>
    </row>
    <row r="747">
      <c r="L747" s="410"/>
    </row>
    <row r="748">
      <c r="L748" s="410"/>
    </row>
    <row r="749">
      <c r="L749" s="410"/>
    </row>
    <row r="750">
      <c r="L750" s="410"/>
    </row>
    <row r="751">
      <c r="L751" s="410"/>
    </row>
    <row r="752">
      <c r="L752" s="410"/>
    </row>
    <row r="753">
      <c r="L753" s="410"/>
    </row>
    <row r="754">
      <c r="L754" s="410"/>
    </row>
    <row r="755">
      <c r="L755" s="410"/>
    </row>
    <row r="756">
      <c r="L756" s="410"/>
    </row>
    <row r="757">
      <c r="L757" s="410"/>
    </row>
    <row r="758">
      <c r="L758" s="410"/>
    </row>
    <row r="759">
      <c r="L759" s="410"/>
    </row>
    <row r="760">
      <c r="L760" s="410"/>
    </row>
    <row r="761">
      <c r="L761" s="410"/>
    </row>
    <row r="762">
      <c r="L762" s="410"/>
    </row>
    <row r="763">
      <c r="L763" s="410"/>
    </row>
    <row r="764">
      <c r="L764" s="410"/>
    </row>
    <row r="765">
      <c r="L765" s="410"/>
    </row>
    <row r="766">
      <c r="L766" s="410"/>
    </row>
    <row r="767">
      <c r="L767" s="410"/>
    </row>
    <row r="768">
      <c r="L768" s="410"/>
    </row>
    <row r="769">
      <c r="L769" s="410"/>
    </row>
    <row r="770">
      <c r="L770" s="410"/>
    </row>
    <row r="771">
      <c r="L771" s="410"/>
    </row>
    <row r="772">
      <c r="L772" s="410"/>
    </row>
    <row r="773">
      <c r="L773" s="410"/>
    </row>
    <row r="774">
      <c r="L774" s="410"/>
    </row>
    <row r="775">
      <c r="L775" s="410"/>
    </row>
    <row r="776">
      <c r="L776" s="410"/>
    </row>
    <row r="777">
      <c r="L777" s="410"/>
    </row>
    <row r="778">
      <c r="L778" s="410"/>
    </row>
    <row r="779">
      <c r="L779" s="410"/>
    </row>
    <row r="780">
      <c r="L780" s="410"/>
    </row>
    <row r="781">
      <c r="L781" s="410"/>
    </row>
    <row r="782">
      <c r="L782" s="410"/>
    </row>
    <row r="783">
      <c r="L783" s="410"/>
    </row>
    <row r="784">
      <c r="L784" s="410"/>
    </row>
    <row r="785">
      <c r="L785" s="410"/>
    </row>
    <row r="786">
      <c r="L786" s="410"/>
    </row>
    <row r="787">
      <c r="L787" s="410"/>
    </row>
    <row r="788">
      <c r="L788" s="410"/>
    </row>
    <row r="789">
      <c r="L789" s="410"/>
    </row>
    <row r="790">
      <c r="L790" s="410"/>
    </row>
    <row r="791">
      <c r="L791" s="410"/>
    </row>
    <row r="792">
      <c r="L792" s="410"/>
    </row>
    <row r="793">
      <c r="L793" s="410"/>
    </row>
    <row r="794">
      <c r="L794" s="410"/>
    </row>
    <row r="795">
      <c r="L795" s="410"/>
    </row>
    <row r="796">
      <c r="L796" s="410"/>
    </row>
    <row r="797">
      <c r="L797" s="410"/>
    </row>
    <row r="798">
      <c r="L798" s="410"/>
    </row>
    <row r="799">
      <c r="L799" s="410"/>
    </row>
    <row r="800">
      <c r="L800" s="410"/>
    </row>
    <row r="801">
      <c r="L801" s="410"/>
    </row>
    <row r="802">
      <c r="L802" s="410"/>
    </row>
    <row r="803">
      <c r="L803" s="410"/>
    </row>
    <row r="804">
      <c r="L804" s="410"/>
    </row>
    <row r="805">
      <c r="L805" s="410"/>
    </row>
    <row r="806">
      <c r="L806" s="410"/>
    </row>
    <row r="807">
      <c r="L807" s="410"/>
    </row>
    <row r="808">
      <c r="L808" s="410"/>
    </row>
    <row r="809">
      <c r="L809" s="410"/>
    </row>
    <row r="810">
      <c r="L810" s="410"/>
    </row>
    <row r="811">
      <c r="L811" s="410"/>
    </row>
    <row r="812">
      <c r="L812" s="410"/>
    </row>
    <row r="813">
      <c r="L813" s="410"/>
    </row>
    <row r="814">
      <c r="L814" s="410"/>
    </row>
    <row r="815">
      <c r="L815" s="410"/>
    </row>
    <row r="816">
      <c r="L816" s="410"/>
    </row>
    <row r="817">
      <c r="L817" s="410"/>
    </row>
    <row r="818">
      <c r="L818" s="410"/>
    </row>
    <row r="819">
      <c r="L819" s="410"/>
    </row>
    <row r="820">
      <c r="L820" s="410"/>
    </row>
    <row r="821">
      <c r="L821" s="410"/>
    </row>
    <row r="822">
      <c r="L822" s="410"/>
    </row>
    <row r="823">
      <c r="L823" s="410"/>
    </row>
    <row r="824">
      <c r="L824" s="410"/>
    </row>
    <row r="825">
      <c r="L825" s="410"/>
    </row>
    <row r="826">
      <c r="L826" s="410"/>
    </row>
    <row r="827">
      <c r="L827" s="410"/>
    </row>
    <row r="828">
      <c r="L828" s="410"/>
    </row>
    <row r="829">
      <c r="L829" s="410"/>
    </row>
    <row r="830">
      <c r="L830" s="410"/>
    </row>
    <row r="831">
      <c r="L831" s="410"/>
    </row>
    <row r="832">
      <c r="L832" s="410"/>
    </row>
    <row r="833">
      <c r="L833" s="410"/>
    </row>
    <row r="834">
      <c r="L834" s="410"/>
    </row>
    <row r="835">
      <c r="L835" s="410"/>
    </row>
    <row r="836">
      <c r="L836" s="410"/>
    </row>
    <row r="837">
      <c r="L837" s="410"/>
    </row>
    <row r="838">
      <c r="L838" s="410"/>
    </row>
    <row r="839">
      <c r="L839" s="410"/>
    </row>
    <row r="840">
      <c r="L840" s="410"/>
    </row>
    <row r="841">
      <c r="L841" s="410"/>
    </row>
    <row r="842">
      <c r="L842" s="410"/>
    </row>
    <row r="843">
      <c r="L843" s="410"/>
    </row>
    <row r="844">
      <c r="L844" s="410"/>
    </row>
    <row r="845">
      <c r="L845" s="410"/>
    </row>
    <row r="846">
      <c r="L846" s="410"/>
    </row>
    <row r="847">
      <c r="L847" s="410"/>
    </row>
    <row r="848">
      <c r="L848" s="410"/>
    </row>
    <row r="849">
      <c r="L849" s="410"/>
    </row>
    <row r="850">
      <c r="L850" s="410"/>
    </row>
    <row r="851">
      <c r="L851" s="410"/>
    </row>
    <row r="852">
      <c r="L852" s="410"/>
    </row>
    <row r="853">
      <c r="L853" s="410"/>
    </row>
    <row r="854">
      <c r="L854" s="410"/>
    </row>
    <row r="855">
      <c r="L855" s="410"/>
    </row>
    <row r="856">
      <c r="L856" s="410"/>
    </row>
    <row r="857">
      <c r="L857" s="410"/>
    </row>
    <row r="858">
      <c r="L858" s="410"/>
    </row>
    <row r="859">
      <c r="L859" s="410"/>
    </row>
    <row r="860">
      <c r="L860" s="410"/>
    </row>
    <row r="861">
      <c r="L861" s="410"/>
    </row>
    <row r="862">
      <c r="L862" s="410"/>
    </row>
    <row r="863">
      <c r="L863" s="410"/>
    </row>
    <row r="864">
      <c r="L864" s="410"/>
    </row>
    <row r="865">
      <c r="L865" s="410"/>
    </row>
    <row r="866">
      <c r="L866" s="410"/>
    </row>
    <row r="867">
      <c r="L867" s="410"/>
    </row>
    <row r="868">
      <c r="L868" s="410"/>
    </row>
    <row r="869">
      <c r="L869" s="410"/>
    </row>
    <row r="870">
      <c r="L870" s="410"/>
    </row>
    <row r="871">
      <c r="L871" s="410"/>
    </row>
    <row r="872">
      <c r="L872" s="410"/>
    </row>
    <row r="873">
      <c r="L873" s="410"/>
    </row>
    <row r="874">
      <c r="L874" s="410"/>
    </row>
    <row r="875">
      <c r="L875" s="410"/>
    </row>
    <row r="876">
      <c r="L876" s="410"/>
    </row>
    <row r="877">
      <c r="L877" s="410"/>
    </row>
    <row r="878">
      <c r="L878" s="410"/>
    </row>
    <row r="879">
      <c r="L879" s="410"/>
    </row>
    <row r="880">
      <c r="L880" s="410"/>
    </row>
    <row r="881">
      <c r="L881" s="410"/>
    </row>
    <row r="882">
      <c r="L882" s="410"/>
    </row>
    <row r="883">
      <c r="L883" s="410"/>
    </row>
    <row r="884">
      <c r="L884" s="410"/>
    </row>
    <row r="885">
      <c r="L885" s="410"/>
    </row>
    <row r="886">
      <c r="L886" s="410"/>
    </row>
    <row r="887">
      <c r="L887" s="410"/>
    </row>
    <row r="888">
      <c r="L888" s="410"/>
    </row>
    <row r="889">
      <c r="L889" s="410"/>
    </row>
    <row r="890">
      <c r="L890" s="410"/>
    </row>
    <row r="891">
      <c r="L891" s="410"/>
    </row>
    <row r="892">
      <c r="L892" s="410"/>
    </row>
    <row r="893">
      <c r="L893" s="410"/>
    </row>
    <row r="894">
      <c r="L894" s="410"/>
    </row>
    <row r="895">
      <c r="L895" s="410"/>
    </row>
    <row r="896">
      <c r="L896" s="410"/>
    </row>
    <row r="897">
      <c r="L897" s="410"/>
    </row>
    <row r="898">
      <c r="L898" s="410"/>
    </row>
    <row r="899">
      <c r="L899" s="410"/>
    </row>
    <row r="900">
      <c r="L900" s="410"/>
    </row>
    <row r="901">
      <c r="L901" s="410"/>
    </row>
    <row r="902">
      <c r="L902" s="410"/>
    </row>
    <row r="903">
      <c r="L903" s="410"/>
    </row>
    <row r="904">
      <c r="L904" s="410"/>
    </row>
    <row r="905">
      <c r="L905" s="410"/>
    </row>
    <row r="906">
      <c r="L906" s="410"/>
    </row>
    <row r="907">
      <c r="L907" s="410"/>
    </row>
    <row r="908">
      <c r="L908" s="410"/>
    </row>
    <row r="909">
      <c r="L909" s="410"/>
    </row>
    <row r="910">
      <c r="L910" s="410"/>
    </row>
    <row r="911">
      <c r="L911" s="410"/>
    </row>
    <row r="912">
      <c r="L912" s="410"/>
    </row>
    <row r="913">
      <c r="L913" s="410"/>
    </row>
    <row r="914">
      <c r="L914" s="410"/>
    </row>
    <row r="915">
      <c r="L915" s="410"/>
    </row>
    <row r="916">
      <c r="L916" s="410"/>
    </row>
    <row r="917">
      <c r="L917" s="410"/>
    </row>
    <row r="918">
      <c r="L918" s="410"/>
    </row>
    <row r="919">
      <c r="L919" s="410"/>
    </row>
    <row r="920">
      <c r="L920" s="410"/>
    </row>
    <row r="921">
      <c r="L921" s="410"/>
    </row>
    <row r="922">
      <c r="L922" s="410"/>
    </row>
    <row r="923">
      <c r="L923" s="410"/>
    </row>
    <row r="924">
      <c r="L924" s="410"/>
    </row>
    <row r="925">
      <c r="L925" s="410"/>
    </row>
    <row r="926">
      <c r="L926" s="410"/>
    </row>
    <row r="927">
      <c r="L927" s="410"/>
    </row>
    <row r="928">
      <c r="L928" s="410"/>
    </row>
    <row r="929">
      <c r="L929" s="410"/>
    </row>
    <row r="930">
      <c r="L930" s="410"/>
    </row>
    <row r="931">
      <c r="L931" s="410"/>
    </row>
    <row r="932">
      <c r="L932" s="410"/>
    </row>
    <row r="933">
      <c r="L933" s="410"/>
    </row>
    <row r="934">
      <c r="L934" s="410"/>
    </row>
    <row r="935">
      <c r="L935" s="410"/>
    </row>
    <row r="936">
      <c r="L936" s="410"/>
    </row>
    <row r="937">
      <c r="L937" s="410"/>
    </row>
    <row r="938">
      <c r="L938" s="410"/>
    </row>
    <row r="939">
      <c r="L939" s="410"/>
    </row>
    <row r="940">
      <c r="L940" s="410"/>
    </row>
    <row r="941">
      <c r="L941" s="410"/>
    </row>
    <row r="942">
      <c r="L942" s="410"/>
    </row>
    <row r="943">
      <c r="L943" s="410"/>
    </row>
    <row r="944">
      <c r="L944" s="410"/>
    </row>
    <row r="945">
      <c r="L945" s="410"/>
    </row>
    <row r="946">
      <c r="L946" s="410"/>
    </row>
    <row r="947">
      <c r="L947" s="410"/>
    </row>
    <row r="948">
      <c r="L948" s="410"/>
    </row>
    <row r="949">
      <c r="L949" s="410"/>
    </row>
    <row r="950">
      <c r="L950" s="410"/>
    </row>
    <row r="951">
      <c r="L951" s="410"/>
    </row>
    <row r="952">
      <c r="L952" s="410"/>
    </row>
    <row r="953">
      <c r="L953" s="410"/>
    </row>
    <row r="954">
      <c r="L954" s="410"/>
    </row>
    <row r="955">
      <c r="L955" s="410"/>
    </row>
    <row r="956">
      <c r="L956" s="410"/>
    </row>
    <row r="957">
      <c r="L957" s="410"/>
    </row>
    <row r="958">
      <c r="L958" s="410"/>
    </row>
    <row r="959">
      <c r="L959" s="410"/>
    </row>
    <row r="960">
      <c r="L960" s="410"/>
    </row>
    <row r="961">
      <c r="L961" s="410"/>
    </row>
    <row r="962">
      <c r="L962" s="410"/>
    </row>
    <row r="963">
      <c r="L963" s="410"/>
    </row>
    <row r="964">
      <c r="L964" s="410"/>
    </row>
    <row r="965">
      <c r="L965" s="410"/>
    </row>
    <row r="966">
      <c r="L966" s="410"/>
    </row>
    <row r="967">
      <c r="L967" s="410"/>
    </row>
    <row r="968">
      <c r="L968" s="410"/>
    </row>
    <row r="969">
      <c r="L969" s="410"/>
    </row>
    <row r="970">
      <c r="L970" s="410"/>
    </row>
    <row r="971">
      <c r="L971" s="410"/>
    </row>
    <row r="972">
      <c r="L972" s="410"/>
    </row>
    <row r="973">
      <c r="L973" s="410"/>
    </row>
    <row r="974">
      <c r="L974" s="410"/>
    </row>
    <row r="975">
      <c r="L975" s="410"/>
    </row>
    <row r="976">
      <c r="L976" s="410"/>
    </row>
    <row r="977">
      <c r="L977" s="410"/>
    </row>
    <row r="978">
      <c r="L978" s="410"/>
    </row>
    <row r="979">
      <c r="L979" s="410"/>
    </row>
    <row r="980">
      <c r="L980" s="410"/>
    </row>
    <row r="981">
      <c r="L981" s="410"/>
    </row>
    <row r="982">
      <c r="L982" s="410"/>
    </row>
    <row r="983">
      <c r="L983" s="410"/>
    </row>
    <row r="984">
      <c r="L984" s="410"/>
    </row>
    <row r="985">
      <c r="L985" s="410"/>
    </row>
    <row r="986">
      <c r="L986" s="410"/>
    </row>
    <row r="987">
      <c r="L987" s="410"/>
    </row>
    <row r="988">
      <c r="L988" s="410"/>
    </row>
    <row r="989">
      <c r="L989" s="410"/>
    </row>
    <row r="990">
      <c r="L990" s="410"/>
    </row>
    <row r="991">
      <c r="L991" s="410"/>
    </row>
    <row r="992">
      <c r="L992" s="410"/>
    </row>
    <row r="993">
      <c r="L993" s="410"/>
    </row>
    <row r="994">
      <c r="L994" s="410"/>
    </row>
    <row r="995">
      <c r="L995" s="410"/>
    </row>
    <row r="996">
      <c r="L996" s="410"/>
    </row>
    <row r="997">
      <c r="L997" s="410"/>
    </row>
    <row r="998">
      <c r="L998" s="410"/>
    </row>
    <row r="999">
      <c r="L999" s="410"/>
    </row>
    <row r="1000">
      <c r="L1000" s="410"/>
    </row>
    <row r="1001">
      <c r="L1001" s="410"/>
    </row>
    <row r="1002">
      <c r="L1002" s="410"/>
    </row>
    <row r="1003">
      <c r="L1003" s="410"/>
    </row>
    <row r="1004">
      <c r="L1004" s="410"/>
    </row>
    <row r="1005">
      <c r="L1005" s="410"/>
    </row>
    <row r="1006">
      <c r="L1006" s="410"/>
    </row>
    <row r="1007">
      <c r="L1007" s="410"/>
    </row>
    <row r="1008">
      <c r="L1008" s="410"/>
    </row>
    <row r="1009">
      <c r="L1009" s="410"/>
    </row>
    <row r="1010">
      <c r="L1010" s="410"/>
    </row>
    <row r="1011">
      <c r="L1011" s="410"/>
    </row>
    <row r="1012">
      <c r="L1012" s="410"/>
    </row>
    <row r="1013">
      <c r="L1013" s="410"/>
    </row>
    <row r="1014">
      <c r="L1014" s="410"/>
    </row>
    <row r="1015">
      <c r="L1015" s="410"/>
    </row>
    <row r="1016">
      <c r="L1016" s="410"/>
    </row>
    <row r="1017">
      <c r="L1017" s="410"/>
    </row>
    <row r="1018">
      <c r="L1018" s="410"/>
    </row>
    <row r="1019">
      <c r="L1019" s="410"/>
    </row>
    <row r="1020">
      <c r="L1020" s="410"/>
    </row>
    <row r="1021">
      <c r="L1021" s="410"/>
    </row>
    <row r="1022">
      <c r="L1022" s="410"/>
    </row>
  </sheetData>
  <mergeCells count="42">
    <mergeCell ref="D3:N3"/>
    <mergeCell ref="B7:B8"/>
    <mergeCell ref="D7:D8"/>
    <mergeCell ref="F7:F8"/>
    <mergeCell ref="G7:G8"/>
    <mergeCell ref="H7:H8"/>
    <mergeCell ref="I7:I8"/>
    <mergeCell ref="L7:L8"/>
    <mergeCell ref="I16:I17"/>
    <mergeCell ref="J16:J17"/>
    <mergeCell ref="L16:L17"/>
    <mergeCell ref="N16:N17"/>
    <mergeCell ref="J7:J8"/>
    <mergeCell ref="K7:K8"/>
    <mergeCell ref="D16:D17"/>
    <mergeCell ref="F16:F17"/>
    <mergeCell ref="G16:G17"/>
    <mergeCell ref="H16:H17"/>
    <mergeCell ref="K16:K17"/>
    <mergeCell ref="I19:I20"/>
    <mergeCell ref="J19:J20"/>
    <mergeCell ref="K19:K20"/>
    <mergeCell ref="L19:L20"/>
    <mergeCell ref="N19:N20"/>
    <mergeCell ref="B16:B17"/>
    <mergeCell ref="B19:B20"/>
    <mergeCell ref="C19:C20"/>
    <mergeCell ref="D19:D20"/>
    <mergeCell ref="F19:F20"/>
    <mergeCell ref="G19:G20"/>
    <mergeCell ref="H19:H20"/>
    <mergeCell ref="J27:J28"/>
    <mergeCell ref="K27:K28"/>
    <mergeCell ref="L27:L28"/>
    <mergeCell ref="M27:M28"/>
    <mergeCell ref="A27:A28"/>
    <mergeCell ref="B27:B28"/>
    <mergeCell ref="D27:D28"/>
    <mergeCell ref="F27:F28"/>
    <mergeCell ref="G27:G28"/>
    <mergeCell ref="H27:H28"/>
    <mergeCell ref="I27:I28"/>
  </mergeCells>
  <hyperlinks>
    <hyperlink r:id="rId1" ref="B3"/>
    <hyperlink display="Onboarding Schedule &amp; Info &gt; Resources Tab" location="Resources!A1" ref="M5"/>
    <hyperlink r:id="rId2" location="slide=id.gf32bf9945b_0_954" ref="M6"/>
    <hyperlink r:id="rId3" ref="M7"/>
    <hyperlink r:id="rId4" location="slide=id.gd0fbd4c1e7_3_214" ref="M8"/>
    <hyperlink r:id="rId5" location="gid=644099024" ref="M9"/>
    <hyperlink r:id="rId6" ref="M10"/>
    <hyperlink r:id="rId7" ref="M11"/>
    <hyperlink r:id="rId8" ref="N11"/>
    <hyperlink r:id="rId9" ref="M12"/>
    <hyperlink r:id="rId10" location="slide=id.g2a69ac5b03a_0_0" ref="M15"/>
    <hyperlink r:id="rId11" ref="N15"/>
    <hyperlink r:id="rId12" location="gid=2144868993" ref="M16"/>
    <hyperlink r:id="rId13" ref="M17"/>
    <hyperlink r:id="rId14" location="PlatformConversionPixelGeneration-AdOperations" ref="M19"/>
    <hyperlink r:id="rId15" location="slide=id.gd0b4d203b3_0_21" ref="M20"/>
    <hyperlink r:id="rId16" ref="M21"/>
    <hyperlink r:id="rId17" ref="N22"/>
    <hyperlink r:id="rId18" ref="M23"/>
    <hyperlink r:id="rId19" ref="L25"/>
    <hyperlink r:id="rId20" ref="M25"/>
    <hyperlink r:id="rId21" ref="M26"/>
    <hyperlink r:id="rId22" ref="N26"/>
    <hyperlink r:id="rId23" ref="M27"/>
    <hyperlink r:id="rId24" ref="N27"/>
    <hyperlink r:id="rId25" ref="N28"/>
    <hyperlink r:id="rId26" ref="M29"/>
    <hyperlink r:id="rId27" ref="N29"/>
  </hyperlinks>
  <drawing r:id="rId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min="1" max="1" width="4.13"/>
    <col customWidth="1" min="2" max="2" width="32.75"/>
    <col customWidth="1" min="3" max="3" width="11.75"/>
    <col customWidth="1" min="4" max="4" width="7.38"/>
    <col customWidth="1" min="12" max="12" width="57.0"/>
    <col customWidth="1" min="13" max="13" width="31.38"/>
    <col customWidth="1" min="14" max="14" width="26.63"/>
  </cols>
  <sheetData>
    <row r="1">
      <c r="A1" s="305"/>
      <c r="B1" s="305" t="s">
        <v>0</v>
      </c>
      <c r="E1" s="305"/>
      <c r="F1" s="305"/>
      <c r="G1" s="305"/>
      <c r="H1" s="305"/>
      <c r="I1" s="305"/>
      <c r="J1" s="305"/>
      <c r="K1" s="305"/>
      <c r="L1" s="331"/>
      <c r="M1" s="305"/>
      <c r="N1" s="305"/>
    </row>
    <row r="2">
      <c r="A2" s="305"/>
      <c r="B2" s="332">
        <v>45519.0</v>
      </c>
      <c r="C2" s="330" t="s">
        <v>575</v>
      </c>
      <c r="E2" s="305"/>
      <c r="F2" s="305"/>
      <c r="G2" s="305"/>
      <c r="H2" s="305"/>
      <c r="I2" s="305"/>
      <c r="J2" s="305"/>
      <c r="K2" s="305"/>
      <c r="L2" s="331"/>
      <c r="M2" s="305"/>
      <c r="N2" s="305"/>
    </row>
    <row r="3">
      <c r="A3" s="305"/>
      <c r="B3" s="412" t="s">
        <v>576</v>
      </c>
      <c r="C3" s="413"/>
      <c r="D3" s="413" t="s">
        <v>577</v>
      </c>
      <c r="E3" s="414"/>
      <c r="F3" s="414"/>
      <c r="G3" s="414"/>
      <c r="H3" s="414"/>
      <c r="I3" s="414"/>
      <c r="J3" s="414"/>
      <c r="K3" s="414"/>
      <c r="L3" s="414"/>
      <c r="M3" s="414"/>
      <c r="N3" s="415"/>
    </row>
    <row r="4">
      <c r="A4" s="305"/>
      <c r="B4" s="337" t="s">
        <v>3</v>
      </c>
      <c r="C4" s="338" t="s">
        <v>541</v>
      </c>
      <c r="D4" s="338" t="s">
        <v>5</v>
      </c>
      <c r="E4" s="338" t="s">
        <v>6</v>
      </c>
      <c r="F4" s="338" t="s">
        <v>7</v>
      </c>
      <c r="G4" s="338" t="s">
        <v>8</v>
      </c>
      <c r="H4" s="338" t="s">
        <v>9</v>
      </c>
      <c r="I4" s="338" t="s">
        <v>10</v>
      </c>
      <c r="J4" s="338" t="s">
        <v>11</v>
      </c>
      <c r="K4" s="338" t="s">
        <v>12</v>
      </c>
      <c r="L4" s="339" t="s">
        <v>13</v>
      </c>
      <c r="M4" s="338" t="s">
        <v>14</v>
      </c>
      <c r="N4" s="340" t="s">
        <v>15</v>
      </c>
    </row>
    <row r="5" ht="75.0" customHeight="1">
      <c r="A5" s="222"/>
      <c r="B5" s="416" t="s">
        <v>542</v>
      </c>
      <c r="C5" s="417" t="b">
        <v>1</v>
      </c>
      <c r="D5" s="417">
        <v>1.0</v>
      </c>
      <c r="E5" s="417" t="str">
        <f t="shared" ref="E5:E7" si="1">TEXT(F5, "dddd")</f>
        <v>Monday</v>
      </c>
      <c r="F5" s="418">
        <v>45481.0</v>
      </c>
      <c r="G5" s="417" t="s">
        <v>18</v>
      </c>
      <c r="H5" s="419">
        <v>0.5833333333333334</v>
      </c>
      <c r="I5" s="419">
        <v>0.6041666666666666</v>
      </c>
      <c r="J5" s="417" t="s">
        <v>117</v>
      </c>
      <c r="K5" s="417" t="s">
        <v>562</v>
      </c>
      <c r="L5" s="420" t="s">
        <v>20</v>
      </c>
      <c r="M5" s="421" t="s">
        <v>578</v>
      </c>
      <c r="N5" s="422" t="s">
        <v>22</v>
      </c>
    </row>
    <row r="6" ht="75.0" customHeight="1">
      <c r="A6" s="222"/>
      <c r="B6" s="349" t="s">
        <v>24</v>
      </c>
      <c r="C6" s="351" t="b">
        <v>1</v>
      </c>
      <c r="D6" s="351">
        <v>1.0</v>
      </c>
      <c r="E6" s="350" t="str">
        <f t="shared" si="1"/>
        <v>Tuesday</v>
      </c>
      <c r="F6" s="352">
        <v>45482.0</v>
      </c>
      <c r="G6" s="351" t="s">
        <v>18</v>
      </c>
      <c r="H6" s="353">
        <v>0.5</v>
      </c>
      <c r="I6" s="353">
        <v>0.5208333333333334</v>
      </c>
      <c r="J6" s="351" t="s">
        <v>545</v>
      </c>
      <c r="K6" s="351" t="s">
        <v>112</v>
      </c>
      <c r="L6" s="354" t="s">
        <v>25</v>
      </c>
      <c r="M6" s="355" t="s">
        <v>26</v>
      </c>
      <c r="N6" s="356" t="s">
        <v>22</v>
      </c>
    </row>
    <row r="7" ht="37.5" customHeight="1">
      <c r="A7" s="222"/>
      <c r="B7" s="423" t="s">
        <v>546</v>
      </c>
      <c r="C7" s="424" t="b">
        <v>1</v>
      </c>
      <c r="D7" s="424">
        <v>1.0</v>
      </c>
      <c r="E7" s="425" t="str">
        <f t="shared" si="1"/>
        <v>Wednesday</v>
      </c>
      <c r="F7" s="426">
        <v>45483.0</v>
      </c>
      <c r="G7" s="424" t="s">
        <v>18</v>
      </c>
      <c r="H7" s="427">
        <v>0.5</v>
      </c>
      <c r="I7" s="427">
        <v>0.5208333333333334</v>
      </c>
      <c r="J7" s="424" t="s">
        <v>112</v>
      </c>
      <c r="K7" s="424" t="s">
        <v>579</v>
      </c>
      <c r="L7" s="428" t="s">
        <v>28</v>
      </c>
      <c r="M7" s="429" t="s">
        <v>546</v>
      </c>
      <c r="N7" s="425" t="s">
        <v>22</v>
      </c>
    </row>
    <row r="8" ht="37.5" customHeight="1">
      <c r="A8" s="222"/>
      <c r="B8" s="364"/>
      <c r="C8" s="365"/>
      <c r="D8" s="365"/>
      <c r="E8" s="365"/>
      <c r="F8" s="365"/>
      <c r="G8" s="365"/>
      <c r="H8" s="365"/>
      <c r="I8" s="365"/>
      <c r="J8" s="365"/>
      <c r="K8" s="365"/>
      <c r="L8" s="365"/>
      <c r="M8" s="366" t="s">
        <v>547</v>
      </c>
      <c r="N8" s="329" t="s">
        <v>22</v>
      </c>
    </row>
    <row r="9" ht="75.0" customHeight="1">
      <c r="A9" s="222"/>
      <c r="B9" s="430" t="s">
        <v>30</v>
      </c>
      <c r="C9" s="431" t="b">
        <v>1</v>
      </c>
      <c r="D9" s="431">
        <v>2.0</v>
      </c>
      <c r="E9" s="417" t="str">
        <f t="shared" ref="E9:E13" si="2">TEXT(F9, "dddd")</f>
        <v>Monday</v>
      </c>
      <c r="F9" s="432">
        <v>45488.0</v>
      </c>
      <c r="G9" s="431" t="s">
        <v>18</v>
      </c>
      <c r="H9" s="433">
        <v>0.5</v>
      </c>
      <c r="I9" s="433">
        <v>0.5208333333333334</v>
      </c>
      <c r="J9" s="431" t="s">
        <v>549</v>
      </c>
      <c r="K9" s="431" t="s">
        <v>152</v>
      </c>
      <c r="L9" s="434" t="s">
        <v>550</v>
      </c>
      <c r="M9" s="435" t="s">
        <v>580</v>
      </c>
      <c r="N9" s="436" t="s">
        <v>22</v>
      </c>
    </row>
    <row r="10" ht="75.0" customHeight="1">
      <c r="A10" s="222"/>
      <c r="B10" s="349" t="s">
        <v>34</v>
      </c>
      <c r="C10" s="351" t="b">
        <v>1</v>
      </c>
      <c r="D10" s="351">
        <v>3.0</v>
      </c>
      <c r="E10" s="350" t="str">
        <f t="shared" si="2"/>
        <v>Thursday</v>
      </c>
      <c r="F10" s="352">
        <f>WORKDAY(B2, 5)</f>
        <v>45526</v>
      </c>
      <c r="G10" s="351" t="s">
        <v>18</v>
      </c>
      <c r="H10" s="353">
        <v>0.5</v>
      </c>
      <c r="I10" s="353">
        <v>0.5208333333333334</v>
      </c>
      <c r="J10" s="351" t="s">
        <v>545</v>
      </c>
      <c r="K10" s="351" t="s">
        <v>552</v>
      </c>
      <c r="L10" s="354" t="s">
        <v>553</v>
      </c>
      <c r="M10" s="355" t="s">
        <v>36</v>
      </c>
      <c r="N10" s="356" t="s">
        <v>22</v>
      </c>
    </row>
    <row r="11" ht="75.0" customHeight="1">
      <c r="A11" s="222"/>
      <c r="B11" s="430" t="s">
        <v>38</v>
      </c>
      <c r="C11" s="431" t="b">
        <v>1</v>
      </c>
      <c r="D11" s="431">
        <v>3.0</v>
      </c>
      <c r="E11" s="417" t="str">
        <f t="shared" si="2"/>
        <v>Thursday</v>
      </c>
      <c r="F11" s="432">
        <f>WORKDAY(B2, 5)</f>
        <v>45526</v>
      </c>
      <c r="G11" s="431" t="s">
        <v>39</v>
      </c>
      <c r="H11" s="433">
        <v>0.5208333333333334</v>
      </c>
      <c r="I11" s="433">
        <v>0.5625</v>
      </c>
      <c r="J11" s="431" t="s">
        <v>117</v>
      </c>
      <c r="K11" s="431" t="s">
        <v>581</v>
      </c>
      <c r="L11" s="434" t="s">
        <v>40</v>
      </c>
      <c r="M11" s="437" t="s">
        <v>41</v>
      </c>
      <c r="N11" s="438" t="s">
        <v>42</v>
      </c>
    </row>
    <row r="12" ht="75.0" customHeight="1">
      <c r="A12" s="222"/>
      <c r="B12" s="349" t="s">
        <v>43</v>
      </c>
      <c r="C12" s="351" t="b">
        <v>1</v>
      </c>
      <c r="D12" s="351">
        <v>2.0</v>
      </c>
      <c r="E12" s="350" t="str">
        <f t="shared" si="2"/>
        <v>Wednesday</v>
      </c>
      <c r="F12" s="352">
        <v>45490.0</v>
      </c>
      <c r="G12" s="351" t="s">
        <v>18</v>
      </c>
      <c r="H12" s="353">
        <v>0.5</v>
      </c>
      <c r="I12" s="353">
        <v>0.5208333333333334</v>
      </c>
      <c r="J12" s="351" t="s">
        <v>118</v>
      </c>
      <c r="K12" s="351" t="s">
        <v>152</v>
      </c>
      <c r="L12" s="354" t="s">
        <v>44</v>
      </c>
      <c r="M12" s="355" t="s">
        <v>555</v>
      </c>
      <c r="N12" s="356" t="s">
        <v>22</v>
      </c>
    </row>
    <row r="13" ht="75.0" customHeight="1">
      <c r="A13" s="222"/>
      <c r="B13" s="430" t="s">
        <v>46</v>
      </c>
      <c r="C13" s="431" t="b">
        <v>1</v>
      </c>
      <c r="D13" s="431">
        <v>2.0</v>
      </c>
      <c r="E13" s="417" t="str">
        <f t="shared" si="2"/>
        <v>Wednesday</v>
      </c>
      <c r="F13" s="432">
        <v>45490.0</v>
      </c>
      <c r="G13" s="431" t="s">
        <v>18</v>
      </c>
      <c r="H13" s="433">
        <v>0.5208333333333334</v>
      </c>
      <c r="I13" s="433">
        <v>0.5416666666666666</v>
      </c>
      <c r="J13" s="431" t="s">
        <v>119</v>
      </c>
      <c r="K13" s="439"/>
      <c r="L13" s="434" t="s">
        <v>47</v>
      </c>
      <c r="M13" s="431" t="s">
        <v>22</v>
      </c>
      <c r="N13" s="436" t="s">
        <v>22</v>
      </c>
    </row>
    <row r="14" ht="75.0" customHeight="1">
      <c r="A14" s="222"/>
      <c r="B14" s="349" t="s">
        <v>48</v>
      </c>
      <c r="C14" s="351" t="b">
        <v>1</v>
      </c>
      <c r="D14" s="351">
        <v>3.0</v>
      </c>
      <c r="E14" s="350" t="s">
        <v>557</v>
      </c>
      <c r="F14" s="352">
        <f>WORKDAY(B2, 10)</f>
        <v>45533</v>
      </c>
      <c r="G14" s="351" t="s">
        <v>39</v>
      </c>
      <c r="H14" s="353">
        <v>0.5</v>
      </c>
      <c r="I14" s="353">
        <v>0.5416666666666666</v>
      </c>
      <c r="J14" s="351" t="s">
        <v>117</v>
      </c>
      <c r="K14" s="351" t="s">
        <v>107</v>
      </c>
      <c r="L14" s="354" t="s">
        <v>49</v>
      </c>
      <c r="M14" s="351" t="s">
        <v>22</v>
      </c>
      <c r="N14" s="356" t="s">
        <v>22</v>
      </c>
    </row>
    <row r="15" ht="75.0" customHeight="1">
      <c r="A15" s="222"/>
      <c r="B15" s="430" t="s">
        <v>51</v>
      </c>
      <c r="C15" s="431" t="b">
        <v>1</v>
      </c>
      <c r="D15" s="431">
        <v>3.0</v>
      </c>
      <c r="E15" s="417" t="str">
        <f t="shared" ref="E15:E19" si="3">TEXT(F15, "dddd")</f>
        <v>Monday</v>
      </c>
      <c r="F15" s="432">
        <f>WORKDAY(B2, 12)</f>
        <v>45537</v>
      </c>
      <c r="G15" s="431" t="s">
        <v>18</v>
      </c>
      <c r="H15" s="433">
        <v>0.5</v>
      </c>
      <c r="I15" s="433">
        <v>0.5208333333333334</v>
      </c>
      <c r="J15" s="431" t="s">
        <v>112</v>
      </c>
      <c r="K15" s="431" t="s">
        <v>582</v>
      </c>
      <c r="L15" s="434" t="s">
        <v>559</v>
      </c>
      <c r="M15" s="440" t="s">
        <v>53</v>
      </c>
      <c r="N15" s="438" t="s">
        <v>42</v>
      </c>
    </row>
    <row r="16" ht="37.5" customHeight="1">
      <c r="A16" s="222"/>
      <c r="B16" s="378" t="s">
        <v>54</v>
      </c>
      <c r="C16" s="351" t="b">
        <v>0</v>
      </c>
      <c r="D16" s="379">
        <v>3.0</v>
      </c>
      <c r="E16" s="350" t="str">
        <f t="shared" si="3"/>
        <v>Monday</v>
      </c>
      <c r="F16" s="380">
        <f>WORKDAY(B2, 12)</f>
        <v>45537</v>
      </c>
      <c r="G16" s="379" t="s">
        <v>18</v>
      </c>
      <c r="H16" s="381">
        <v>0.5416666666666666</v>
      </c>
      <c r="I16" s="381">
        <v>0.5625</v>
      </c>
      <c r="J16" s="382"/>
      <c r="K16" s="382"/>
      <c r="L16" s="383" t="s">
        <v>55</v>
      </c>
      <c r="M16" s="384" t="s">
        <v>560</v>
      </c>
      <c r="N16" s="385" t="s">
        <v>57</v>
      </c>
    </row>
    <row r="17" ht="37.5" hidden="1" customHeight="1">
      <c r="A17" s="222"/>
      <c r="B17" s="441"/>
      <c r="C17" s="431" t="b">
        <v>0</v>
      </c>
      <c r="D17" s="442"/>
      <c r="E17" s="417" t="str">
        <f t="shared" si="3"/>
        <v>Saturday</v>
      </c>
      <c r="F17" s="442"/>
      <c r="G17" s="442"/>
      <c r="H17" s="442"/>
      <c r="I17" s="442"/>
      <c r="J17" s="442"/>
      <c r="K17" s="442"/>
      <c r="L17" s="442"/>
      <c r="M17" s="443" t="s">
        <v>561</v>
      </c>
      <c r="N17" s="444"/>
    </row>
    <row r="18" ht="75.0" customHeight="1">
      <c r="A18" s="222"/>
      <c r="B18" s="349" t="s">
        <v>58</v>
      </c>
      <c r="C18" s="351" t="b">
        <v>1</v>
      </c>
      <c r="D18" s="351">
        <v>3.0</v>
      </c>
      <c r="E18" s="350" t="str">
        <f t="shared" si="3"/>
        <v>Tuesday</v>
      </c>
      <c r="F18" s="352">
        <f>WORKDAY(B2, 13)</f>
        <v>45538</v>
      </c>
      <c r="G18" s="351" t="s">
        <v>18</v>
      </c>
      <c r="H18" s="353">
        <v>0.5</v>
      </c>
      <c r="I18" s="353">
        <v>0.5208333333333334</v>
      </c>
      <c r="J18" s="351" t="s">
        <v>117</v>
      </c>
      <c r="K18" s="390"/>
      <c r="L18" s="354" t="s">
        <v>59</v>
      </c>
      <c r="M18" s="391" t="s">
        <v>22</v>
      </c>
      <c r="N18" s="356" t="s">
        <v>22</v>
      </c>
    </row>
    <row r="19" ht="37.5" customHeight="1">
      <c r="A19" s="222"/>
      <c r="B19" s="423" t="s">
        <v>60</v>
      </c>
      <c r="C19" s="431" t="b">
        <v>0</v>
      </c>
      <c r="D19" s="424">
        <v>4.0</v>
      </c>
      <c r="E19" s="417" t="str">
        <f t="shared" si="3"/>
        <v>Thursday</v>
      </c>
      <c r="F19" s="426">
        <f>WORKDAY(B2, 15)</f>
        <v>45540</v>
      </c>
      <c r="G19" s="424" t="s">
        <v>18</v>
      </c>
      <c r="H19" s="427">
        <v>0.5</v>
      </c>
      <c r="I19" s="427">
        <v>0.5208333333333334</v>
      </c>
      <c r="J19" s="424" t="s">
        <v>114</v>
      </c>
      <c r="K19" s="424" t="s">
        <v>583</v>
      </c>
      <c r="L19" s="428" t="s">
        <v>61</v>
      </c>
      <c r="M19" s="440" t="s">
        <v>563</v>
      </c>
      <c r="N19" s="445" t="s">
        <v>22</v>
      </c>
    </row>
    <row r="20" ht="37.5" customHeight="1">
      <c r="A20" s="222"/>
      <c r="B20" s="364"/>
      <c r="C20" s="351" t="b">
        <v>1</v>
      </c>
      <c r="D20" s="365"/>
      <c r="E20" s="350"/>
      <c r="F20" s="365"/>
      <c r="G20" s="365"/>
      <c r="H20" s="365"/>
      <c r="I20" s="365"/>
      <c r="J20" s="365"/>
      <c r="K20" s="365"/>
      <c r="L20" s="365"/>
      <c r="M20" s="393" t="s">
        <v>564</v>
      </c>
      <c r="N20" s="394"/>
    </row>
    <row r="21" ht="75.0" customHeight="1">
      <c r="A21" s="222"/>
      <c r="B21" s="430" t="s">
        <v>63</v>
      </c>
      <c r="C21" s="431" t="b">
        <v>1</v>
      </c>
      <c r="D21" s="431">
        <v>4.0</v>
      </c>
      <c r="E21" s="417" t="str">
        <f t="shared" ref="E21:E35" si="4">TEXT(F21, "dddd")</f>
        <v>Friday</v>
      </c>
      <c r="F21" s="432">
        <f>WORKDAY(B2, 16)</f>
        <v>45541</v>
      </c>
      <c r="G21" s="431" t="s">
        <v>18</v>
      </c>
      <c r="H21" s="433">
        <v>0.5</v>
      </c>
      <c r="I21" s="433">
        <v>0.5208333333333334</v>
      </c>
      <c r="J21" s="431" t="s">
        <v>126</v>
      </c>
      <c r="K21" s="431" t="s">
        <v>562</v>
      </c>
      <c r="L21" s="434" t="s">
        <v>64</v>
      </c>
      <c r="M21" s="446" t="s">
        <v>65</v>
      </c>
      <c r="N21" s="425" t="s">
        <v>22</v>
      </c>
    </row>
    <row r="22" ht="75.0" customHeight="1">
      <c r="A22" s="222"/>
      <c r="B22" s="349" t="s">
        <v>67</v>
      </c>
      <c r="C22" s="351" t="b">
        <v>1</v>
      </c>
      <c r="D22" s="351">
        <v>4.0</v>
      </c>
      <c r="E22" s="350" t="str">
        <f t="shared" si="4"/>
        <v>Friday</v>
      </c>
      <c r="F22" s="352">
        <f>WORKDAY(B2, 16)</f>
        <v>45541</v>
      </c>
      <c r="G22" s="351" t="s">
        <v>68</v>
      </c>
      <c r="H22" s="353">
        <v>0.5208333333333334</v>
      </c>
      <c r="I22" s="353">
        <v>0.5520833333333334</v>
      </c>
      <c r="J22" s="351" t="s">
        <v>126</v>
      </c>
      <c r="K22" s="351" t="s">
        <v>562</v>
      </c>
      <c r="L22" s="354" t="s">
        <v>69</v>
      </c>
      <c r="M22" s="396"/>
      <c r="N22" s="397" t="s">
        <v>42</v>
      </c>
    </row>
    <row r="23" ht="75.0" customHeight="1">
      <c r="A23" s="222"/>
      <c r="B23" s="430" t="s">
        <v>71</v>
      </c>
      <c r="C23" s="431" t="b">
        <v>1</v>
      </c>
      <c r="D23" s="431">
        <v>4.0</v>
      </c>
      <c r="E23" s="417" t="str">
        <f t="shared" si="4"/>
        <v>Monday</v>
      </c>
      <c r="F23" s="432">
        <f>WORKDAY(B2, 17)</f>
        <v>45544</v>
      </c>
      <c r="G23" s="431" t="s">
        <v>18</v>
      </c>
      <c r="H23" s="433">
        <v>0.5</v>
      </c>
      <c r="I23" s="433">
        <v>0.5208333333333334</v>
      </c>
      <c r="J23" s="431" t="s">
        <v>545</v>
      </c>
      <c r="K23" s="431" t="s">
        <v>552</v>
      </c>
      <c r="L23" s="434" t="s">
        <v>72</v>
      </c>
      <c r="M23" s="446" t="s">
        <v>584</v>
      </c>
      <c r="N23" s="447" t="s">
        <v>22</v>
      </c>
    </row>
    <row r="24" ht="75.0" customHeight="1">
      <c r="A24" s="222"/>
      <c r="B24" s="349" t="s">
        <v>74</v>
      </c>
      <c r="C24" s="351" t="b">
        <v>1</v>
      </c>
      <c r="D24" s="351">
        <v>4.0</v>
      </c>
      <c r="E24" s="350" t="str">
        <f t="shared" si="4"/>
        <v>Tuesday</v>
      </c>
      <c r="F24" s="352">
        <f>WORKDAY(B2, 18)</f>
        <v>45545</v>
      </c>
      <c r="G24" s="351" t="s">
        <v>39</v>
      </c>
      <c r="H24" s="353">
        <v>0.5</v>
      </c>
      <c r="I24" s="353">
        <v>0.5416666666666666</v>
      </c>
      <c r="J24" s="351" t="s">
        <v>112</v>
      </c>
      <c r="K24" s="351" t="s">
        <v>545</v>
      </c>
      <c r="L24" s="351" t="s">
        <v>75</v>
      </c>
      <c r="M24" s="396" t="s">
        <v>22</v>
      </c>
      <c r="N24" s="399" t="s">
        <v>22</v>
      </c>
    </row>
    <row r="25" ht="75.0" customHeight="1">
      <c r="A25" s="222"/>
      <c r="B25" s="430" t="s">
        <v>76</v>
      </c>
      <c r="C25" s="431" t="b">
        <v>1</v>
      </c>
      <c r="D25" s="431">
        <v>5.0</v>
      </c>
      <c r="E25" s="417" t="str">
        <f t="shared" si="4"/>
        <v>Thursday</v>
      </c>
      <c r="F25" s="432">
        <f>WORKDAY(B2, 20)</f>
        <v>45547</v>
      </c>
      <c r="G25" s="431" t="s">
        <v>18</v>
      </c>
      <c r="H25" s="433">
        <v>0.5</v>
      </c>
      <c r="I25" s="433">
        <v>0.5208333333333334</v>
      </c>
      <c r="J25" s="431" t="s">
        <v>114</v>
      </c>
      <c r="K25" s="431" t="s">
        <v>583</v>
      </c>
      <c r="L25" s="448" t="s">
        <v>585</v>
      </c>
      <c r="M25" s="437" t="s">
        <v>78</v>
      </c>
      <c r="N25" s="447" t="s">
        <v>22</v>
      </c>
    </row>
    <row r="26" ht="75.0" customHeight="1">
      <c r="A26" s="222"/>
      <c r="B26" s="349" t="s">
        <v>79</v>
      </c>
      <c r="C26" s="351" t="b">
        <v>1</v>
      </c>
      <c r="D26" s="351">
        <v>5.0</v>
      </c>
      <c r="E26" s="350" t="str">
        <f t="shared" si="4"/>
        <v>Thursday</v>
      </c>
      <c r="F26" s="352">
        <f>WORKDAY(B2, 5)</f>
        <v>45526</v>
      </c>
      <c r="G26" s="351" t="s">
        <v>39</v>
      </c>
      <c r="H26" s="353">
        <v>0.5</v>
      </c>
      <c r="I26" s="353">
        <v>0.5416666666666666</v>
      </c>
      <c r="J26" s="351" t="s">
        <v>126</v>
      </c>
      <c r="K26" s="351" t="s">
        <v>586</v>
      </c>
      <c r="L26" s="354" t="s">
        <v>80</v>
      </c>
      <c r="M26" s="355" t="s">
        <v>81</v>
      </c>
      <c r="N26" s="397" t="s">
        <v>570</v>
      </c>
    </row>
    <row r="27" ht="37.5" customHeight="1">
      <c r="A27" s="222"/>
      <c r="B27" s="423" t="s">
        <v>571</v>
      </c>
      <c r="C27" s="431" t="b">
        <v>1</v>
      </c>
      <c r="D27" s="424">
        <v>5.0</v>
      </c>
      <c r="E27" s="417" t="str">
        <f t="shared" si="4"/>
        <v>Thursday</v>
      </c>
      <c r="F27" s="426">
        <f>WORKDAY(B2, 5)</f>
        <v>45526</v>
      </c>
      <c r="G27" s="424" t="s">
        <v>39</v>
      </c>
      <c r="H27" s="427">
        <v>0.5</v>
      </c>
      <c r="I27" s="427">
        <v>0.5416666666666666</v>
      </c>
      <c r="J27" s="424" t="s">
        <v>107</v>
      </c>
      <c r="K27" s="424" t="s">
        <v>587</v>
      </c>
      <c r="L27" s="428" t="s">
        <v>84</v>
      </c>
      <c r="M27" s="440" t="s">
        <v>85</v>
      </c>
      <c r="N27" s="438" t="s">
        <v>572</v>
      </c>
    </row>
    <row r="28" ht="37.5" customHeight="1">
      <c r="B28" s="364"/>
      <c r="C28" s="351" t="b">
        <v>1</v>
      </c>
      <c r="D28" s="365"/>
      <c r="E28" s="350" t="str">
        <f t="shared" si="4"/>
        <v>Saturday</v>
      </c>
      <c r="F28" s="365"/>
      <c r="G28" s="365"/>
      <c r="H28" s="365"/>
      <c r="I28" s="365"/>
      <c r="J28" s="365"/>
      <c r="K28" s="365"/>
      <c r="L28" s="365"/>
      <c r="M28" s="365"/>
      <c r="N28" s="397" t="s">
        <v>573</v>
      </c>
    </row>
    <row r="29" ht="75.0" customHeight="1">
      <c r="A29" s="222"/>
      <c r="B29" s="430" t="s">
        <v>87</v>
      </c>
      <c r="C29" s="431" t="b">
        <v>1</v>
      </c>
      <c r="D29" s="431">
        <v>5.0</v>
      </c>
      <c r="E29" s="417" t="str">
        <f t="shared" si="4"/>
        <v>Tuesday</v>
      </c>
      <c r="F29" s="432">
        <f>WORKDAY(B2, 23)</f>
        <v>45552</v>
      </c>
      <c r="G29" s="431" t="s">
        <v>39</v>
      </c>
      <c r="H29" s="433">
        <v>0.5</v>
      </c>
      <c r="I29" s="433">
        <v>0.5416666666666666</v>
      </c>
      <c r="J29" s="431" t="s">
        <v>107</v>
      </c>
      <c r="K29" s="431" t="s">
        <v>588</v>
      </c>
      <c r="L29" s="434" t="s">
        <v>88</v>
      </c>
      <c r="M29" s="437" t="s">
        <v>89</v>
      </c>
      <c r="N29" s="438" t="s">
        <v>42</v>
      </c>
    </row>
    <row r="30" ht="75.0" customHeight="1">
      <c r="A30" s="222"/>
      <c r="B30" s="349" t="s">
        <v>90</v>
      </c>
      <c r="C30" s="351" t="b">
        <v>1</v>
      </c>
      <c r="D30" s="351">
        <v>5.0</v>
      </c>
      <c r="E30" s="350" t="str">
        <f t="shared" si="4"/>
        <v>Tuesday</v>
      </c>
      <c r="F30" s="352">
        <f>WORKDAY(B2, 23)</f>
        <v>45552</v>
      </c>
      <c r="G30" s="351" t="s">
        <v>18</v>
      </c>
      <c r="H30" s="401">
        <v>0.5833333333333334</v>
      </c>
      <c r="I30" s="353">
        <v>0.6041666666666666</v>
      </c>
      <c r="J30" s="351" t="s">
        <v>126</v>
      </c>
      <c r="K30" s="351" t="s">
        <v>562</v>
      </c>
      <c r="L30" s="354" t="s">
        <v>91</v>
      </c>
      <c r="M30" s="356" t="s">
        <v>22</v>
      </c>
      <c r="N30" s="356" t="s">
        <v>22</v>
      </c>
    </row>
    <row r="31" ht="75.0" customHeight="1">
      <c r="A31" s="222"/>
      <c r="B31" s="430" t="s">
        <v>99</v>
      </c>
      <c r="C31" s="431" t="b">
        <v>1</v>
      </c>
      <c r="D31" s="431">
        <v>6.0</v>
      </c>
      <c r="E31" s="417" t="str">
        <f t="shared" si="4"/>
        <v>Friday</v>
      </c>
      <c r="F31" s="432">
        <f>WORKDAY(B2, 21)</f>
        <v>45548</v>
      </c>
      <c r="G31" s="431" t="s">
        <v>18</v>
      </c>
      <c r="H31" s="433">
        <v>0.5</v>
      </c>
      <c r="I31" s="433">
        <v>0.5208333333333334</v>
      </c>
      <c r="J31" s="431" t="s">
        <v>117</v>
      </c>
      <c r="K31" s="439"/>
      <c r="L31" s="431" t="s">
        <v>100</v>
      </c>
      <c r="M31" s="436" t="s">
        <v>22</v>
      </c>
      <c r="N31" s="436" t="s">
        <v>22</v>
      </c>
    </row>
    <row r="32" ht="75.0" customHeight="1">
      <c r="B32" s="349" t="s">
        <v>101</v>
      </c>
      <c r="C32" s="351" t="b">
        <v>1</v>
      </c>
      <c r="D32" s="351">
        <v>6.0</v>
      </c>
      <c r="E32" s="350" t="str">
        <f t="shared" si="4"/>
        <v>Thursday</v>
      </c>
      <c r="F32" s="402">
        <v>45519.0</v>
      </c>
      <c r="G32" s="351" t="s">
        <v>18</v>
      </c>
      <c r="H32" s="353">
        <v>0.5</v>
      </c>
      <c r="I32" s="353">
        <v>0.5208333333333334</v>
      </c>
      <c r="J32" s="351" t="s">
        <v>574</v>
      </c>
      <c r="K32" s="351" t="s">
        <v>110</v>
      </c>
      <c r="L32" s="356" t="s">
        <v>22</v>
      </c>
      <c r="M32" s="356" t="s">
        <v>22</v>
      </c>
      <c r="N32" s="403"/>
    </row>
    <row r="33" ht="75.0" customHeight="1">
      <c r="B33" s="430" t="s">
        <v>102</v>
      </c>
      <c r="C33" s="431" t="b">
        <v>1</v>
      </c>
      <c r="D33" s="431" t="s">
        <v>103</v>
      </c>
      <c r="E33" s="417" t="str">
        <f t="shared" si="4"/>
        <v>Monday</v>
      </c>
      <c r="F33" s="432">
        <f>WORKDAY(B2, 42)</f>
        <v>45579</v>
      </c>
      <c r="G33" s="431" t="s">
        <v>18</v>
      </c>
      <c r="H33" s="449">
        <v>0.5</v>
      </c>
      <c r="I33" s="433">
        <v>0.5208333333333334</v>
      </c>
      <c r="J33" s="431" t="s">
        <v>117</v>
      </c>
      <c r="K33" s="431"/>
      <c r="L33" s="436" t="s">
        <v>22</v>
      </c>
      <c r="M33" s="436" t="s">
        <v>22</v>
      </c>
      <c r="N33" s="436" t="s">
        <v>22</v>
      </c>
    </row>
    <row r="34" ht="75.0" customHeight="1">
      <c r="B34" s="349" t="s">
        <v>104</v>
      </c>
      <c r="C34" s="329" t="b">
        <v>1</v>
      </c>
      <c r="D34" s="329" t="s">
        <v>103</v>
      </c>
      <c r="E34" s="350" t="str">
        <f t="shared" si="4"/>
        <v>Monday</v>
      </c>
      <c r="F34" s="405">
        <f>WORKDAY(B2, 42)</f>
        <v>45579</v>
      </c>
      <c r="G34" s="329" t="s">
        <v>18</v>
      </c>
      <c r="H34" s="406">
        <v>0.5</v>
      </c>
      <c r="I34" s="407">
        <v>0.5208333333333334</v>
      </c>
      <c r="J34" s="351" t="s">
        <v>117</v>
      </c>
      <c r="K34" s="351" t="s">
        <v>110</v>
      </c>
      <c r="L34" s="356" t="s">
        <v>22</v>
      </c>
      <c r="M34" s="356" t="s">
        <v>22</v>
      </c>
      <c r="N34" s="403"/>
    </row>
    <row r="35" ht="75.0" customHeight="1">
      <c r="B35" s="430" t="s">
        <v>105</v>
      </c>
      <c r="C35" s="431" t="b">
        <v>1</v>
      </c>
      <c r="D35" s="431" t="s">
        <v>103</v>
      </c>
      <c r="E35" s="417" t="str">
        <f t="shared" si="4"/>
        <v>Tuesday</v>
      </c>
      <c r="F35" s="432">
        <f>WORKDAY(B2,63)</f>
        <v>45608</v>
      </c>
      <c r="G35" s="431" t="s">
        <v>18</v>
      </c>
      <c r="H35" s="449">
        <v>0.5</v>
      </c>
      <c r="I35" s="433">
        <v>0.5208333333333334</v>
      </c>
      <c r="J35" s="431" t="s">
        <v>117</v>
      </c>
      <c r="K35" s="431"/>
      <c r="L35" s="436" t="s">
        <v>22</v>
      </c>
      <c r="M35" s="436" t="s">
        <v>22</v>
      </c>
      <c r="N35" s="436" t="s">
        <v>22</v>
      </c>
    </row>
    <row r="36">
      <c r="G36" s="409"/>
      <c r="H36" s="409"/>
      <c r="I36" s="409"/>
      <c r="L36" s="410"/>
    </row>
    <row r="37">
      <c r="G37" s="409"/>
      <c r="H37" s="409"/>
      <c r="I37" s="409"/>
      <c r="L37" s="410"/>
    </row>
    <row r="38">
      <c r="G38" s="409"/>
      <c r="H38" s="409"/>
      <c r="I38" s="409"/>
      <c r="L38" s="410"/>
    </row>
    <row r="39">
      <c r="G39" s="409"/>
      <c r="H39" s="409"/>
      <c r="I39" s="409"/>
      <c r="L39" s="410"/>
    </row>
    <row r="40">
      <c r="G40" s="409"/>
      <c r="H40" s="409"/>
      <c r="I40" s="409"/>
      <c r="L40" s="410"/>
    </row>
    <row r="41">
      <c r="G41" s="409"/>
      <c r="H41" s="409"/>
      <c r="I41" s="409"/>
      <c r="L41" s="410"/>
    </row>
    <row r="42">
      <c r="G42" s="409"/>
      <c r="H42" s="409"/>
      <c r="I42" s="409"/>
      <c r="L42" s="410"/>
    </row>
    <row r="43">
      <c r="G43" s="409"/>
      <c r="H43" s="409"/>
      <c r="I43" s="409"/>
      <c r="L43" s="410"/>
    </row>
    <row r="44">
      <c r="G44" s="409"/>
      <c r="H44" s="409"/>
      <c r="I44" s="409"/>
      <c r="L44" s="410"/>
    </row>
    <row r="45">
      <c r="G45" s="409"/>
      <c r="H45" s="409"/>
      <c r="I45" s="409"/>
      <c r="L45" s="410"/>
    </row>
    <row r="46">
      <c r="G46" s="409"/>
      <c r="H46" s="409"/>
      <c r="I46" s="409"/>
      <c r="L46" s="410"/>
    </row>
    <row r="47">
      <c r="G47" s="409"/>
      <c r="H47" s="409"/>
      <c r="I47" s="409"/>
      <c r="L47" s="410"/>
    </row>
    <row r="48">
      <c r="G48" s="409"/>
      <c r="H48" s="409"/>
      <c r="I48" s="409"/>
      <c r="L48" s="410"/>
    </row>
    <row r="49">
      <c r="G49" s="409"/>
      <c r="H49" s="409"/>
      <c r="I49" s="409"/>
      <c r="L49" s="410"/>
    </row>
    <row r="50">
      <c r="G50" s="409"/>
      <c r="H50" s="409"/>
      <c r="I50" s="409"/>
      <c r="L50" s="410"/>
    </row>
    <row r="51">
      <c r="G51" s="409"/>
      <c r="H51" s="409"/>
      <c r="I51" s="409"/>
      <c r="L51" s="410"/>
    </row>
    <row r="52">
      <c r="G52" s="411"/>
      <c r="H52" s="411"/>
      <c r="I52" s="411"/>
      <c r="L52" s="410"/>
    </row>
    <row r="53">
      <c r="L53" s="410"/>
    </row>
    <row r="54">
      <c r="L54" s="410"/>
    </row>
    <row r="55">
      <c r="L55" s="410"/>
    </row>
    <row r="56">
      <c r="L56" s="410"/>
    </row>
    <row r="57">
      <c r="L57" s="410"/>
    </row>
    <row r="58">
      <c r="L58" s="410"/>
    </row>
    <row r="59">
      <c r="L59" s="410"/>
    </row>
    <row r="60">
      <c r="L60" s="410"/>
    </row>
    <row r="61">
      <c r="L61" s="410"/>
    </row>
    <row r="62">
      <c r="L62" s="410"/>
    </row>
    <row r="63">
      <c r="L63" s="410"/>
    </row>
    <row r="64">
      <c r="L64" s="410"/>
    </row>
    <row r="65">
      <c r="L65" s="410"/>
    </row>
    <row r="66">
      <c r="L66" s="410"/>
    </row>
    <row r="67">
      <c r="L67" s="410"/>
    </row>
    <row r="68">
      <c r="L68" s="410"/>
    </row>
    <row r="69">
      <c r="L69" s="410"/>
    </row>
    <row r="70">
      <c r="L70" s="410"/>
    </row>
    <row r="71">
      <c r="L71" s="410"/>
    </row>
    <row r="72">
      <c r="L72" s="410"/>
    </row>
    <row r="73">
      <c r="L73" s="410"/>
    </row>
    <row r="74">
      <c r="L74" s="410"/>
    </row>
    <row r="75">
      <c r="L75" s="410"/>
    </row>
    <row r="76">
      <c r="L76" s="410"/>
    </row>
    <row r="77">
      <c r="L77" s="410"/>
    </row>
    <row r="78">
      <c r="L78" s="410"/>
    </row>
    <row r="79">
      <c r="L79" s="410"/>
    </row>
    <row r="80">
      <c r="L80" s="410"/>
    </row>
    <row r="81">
      <c r="L81" s="410"/>
    </row>
    <row r="82">
      <c r="L82" s="410"/>
    </row>
    <row r="83">
      <c r="L83" s="410"/>
    </row>
    <row r="84">
      <c r="L84" s="410"/>
    </row>
    <row r="85">
      <c r="L85" s="410"/>
    </row>
    <row r="86">
      <c r="L86" s="410"/>
    </row>
    <row r="87">
      <c r="L87" s="410"/>
    </row>
    <row r="88">
      <c r="L88" s="410"/>
    </row>
    <row r="89">
      <c r="L89" s="410"/>
    </row>
    <row r="90">
      <c r="L90" s="410"/>
    </row>
    <row r="91">
      <c r="L91" s="410"/>
    </row>
    <row r="92">
      <c r="L92" s="410"/>
    </row>
    <row r="93">
      <c r="L93" s="410"/>
    </row>
    <row r="94">
      <c r="L94" s="410"/>
    </row>
    <row r="95">
      <c r="L95" s="410"/>
    </row>
    <row r="96">
      <c r="L96" s="410"/>
    </row>
    <row r="97">
      <c r="L97" s="410"/>
    </row>
    <row r="98">
      <c r="L98" s="410"/>
    </row>
    <row r="99">
      <c r="L99" s="410"/>
    </row>
    <row r="100">
      <c r="L100" s="410"/>
    </row>
    <row r="101">
      <c r="L101" s="410"/>
    </row>
    <row r="102">
      <c r="L102" s="410"/>
    </row>
    <row r="103">
      <c r="L103" s="410"/>
    </row>
    <row r="104">
      <c r="L104" s="410"/>
    </row>
    <row r="105">
      <c r="L105" s="410"/>
    </row>
    <row r="106">
      <c r="L106" s="410"/>
    </row>
    <row r="107">
      <c r="L107" s="410"/>
    </row>
    <row r="108">
      <c r="L108" s="410"/>
    </row>
    <row r="109">
      <c r="L109" s="410"/>
    </row>
    <row r="110">
      <c r="L110" s="410"/>
    </row>
    <row r="111">
      <c r="L111" s="410"/>
    </row>
    <row r="112">
      <c r="L112" s="410"/>
    </row>
    <row r="113">
      <c r="L113" s="410"/>
    </row>
    <row r="114">
      <c r="L114" s="410"/>
    </row>
    <row r="115">
      <c r="L115" s="410"/>
    </row>
    <row r="116">
      <c r="L116" s="410"/>
    </row>
    <row r="117">
      <c r="L117" s="410"/>
    </row>
    <row r="118">
      <c r="L118" s="410"/>
    </row>
    <row r="119">
      <c r="L119" s="410"/>
    </row>
    <row r="120">
      <c r="L120" s="410"/>
    </row>
    <row r="121">
      <c r="L121" s="410"/>
    </row>
    <row r="122">
      <c r="L122" s="410"/>
    </row>
    <row r="123">
      <c r="L123" s="410"/>
    </row>
    <row r="124">
      <c r="L124" s="410"/>
    </row>
    <row r="125">
      <c r="L125" s="410"/>
    </row>
    <row r="126">
      <c r="L126" s="410"/>
    </row>
    <row r="127">
      <c r="L127" s="410"/>
    </row>
    <row r="128">
      <c r="L128" s="410"/>
    </row>
    <row r="129">
      <c r="L129" s="410"/>
    </row>
    <row r="130">
      <c r="L130" s="410"/>
    </row>
    <row r="131">
      <c r="L131" s="410"/>
    </row>
    <row r="132">
      <c r="L132" s="410"/>
    </row>
    <row r="133">
      <c r="L133" s="410"/>
    </row>
    <row r="134">
      <c r="L134" s="410"/>
    </row>
    <row r="135">
      <c r="L135" s="410"/>
    </row>
    <row r="136">
      <c r="L136" s="410"/>
    </row>
    <row r="137">
      <c r="L137" s="410"/>
    </row>
    <row r="138">
      <c r="L138" s="410"/>
    </row>
    <row r="139">
      <c r="L139" s="410"/>
    </row>
    <row r="140">
      <c r="L140" s="410"/>
    </row>
    <row r="141">
      <c r="L141" s="410"/>
    </row>
    <row r="142">
      <c r="L142" s="410"/>
    </row>
    <row r="143">
      <c r="L143" s="410"/>
    </row>
    <row r="144">
      <c r="L144" s="410"/>
    </row>
    <row r="145">
      <c r="L145" s="410"/>
    </row>
    <row r="146">
      <c r="L146" s="410"/>
    </row>
    <row r="147">
      <c r="L147" s="410"/>
    </row>
    <row r="148">
      <c r="L148" s="410"/>
    </row>
    <row r="149">
      <c r="L149" s="410"/>
    </row>
    <row r="150">
      <c r="L150" s="410"/>
    </row>
    <row r="151">
      <c r="L151" s="410"/>
    </row>
    <row r="152">
      <c r="L152" s="410"/>
    </row>
    <row r="153">
      <c r="L153" s="410"/>
    </row>
    <row r="154">
      <c r="L154" s="410"/>
    </row>
    <row r="155">
      <c r="L155" s="410"/>
    </row>
    <row r="156">
      <c r="L156" s="410"/>
    </row>
    <row r="157">
      <c r="L157" s="410"/>
    </row>
    <row r="158">
      <c r="L158" s="410"/>
    </row>
    <row r="159">
      <c r="L159" s="410"/>
    </row>
    <row r="160">
      <c r="L160" s="410"/>
    </row>
    <row r="161">
      <c r="L161" s="410"/>
    </row>
    <row r="162">
      <c r="L162" s="410"/>
    </row>
    <row r="163">
      <c r="L163" s="410"/>
    </row>
    <row r="164">
      <c r="L164" s="410"/>
    </row>
    <row r="165">
      <c r="L165" s="410"/>
    </row>
    <row r="166">
      <c r="L166" s="410"/>
    </row>
    <row r="167">
      <c r="L167" s="410"/>
    </row>
    <row r="168">
      <c r="L168" s="410"/>
    </row>
    <row r="169">
      <c r="L169" s="410"/>
    </row>
    <row r="170">
      <c r="L170" s="410"/>
    </row>
    <row r="171">
      <c r="L171" s="410"/>
    </row>
    <row r="172">
      <c r="L172" s="410"/>
    </row>
    <row r="173">
      <c r="L173" s="410"/>
    </row>
    <row r="174">
      <c r="L174" s="410"/>
    </row>
    <row r="175">
      <c r="L175" s="410"/>
    </row>
    <row r="176">
      <c r="L176" s="410"/>
    </row>
    <row r="177">
      <c r="L177" s="410"/>
    </row>
    <row r="178">
      <c r="L178" s="410"/>
    </row>
    <row r="179">
      <c r="L179" s="410"/>
    </row>
    <row r="180">
      <c r="L180" s="410"/>
    </row>
    <row r="181">
      <c r="L181" s="410"/>
    </row>
    <row r="182">
      <c r="L182" s="410"/>
    </row>
    <row r="183">
      <c r="L183" s="410"/>
    </row>
    <row r="184">
      <c r="L184" s="410"/>
    </row>
    <row r="185">
      <c r="L185" s="410"/>
    </row>
    <row r="186">
      <c r="L186" s="410"/>
    </row>
    <row r="187">
      <c r="L187" s="410"/>
    </row>
    <row r="188">
      <c r="L188" s="410"/>
    </row>
    <row r="189">
      <c r="L189" s="410"/>
    </row>
    <row r="190">
      <c r="L190" s="410"/>
    </row>
    <row r="191">
      <c r="L191" s="410"/>
    </row>
    <row r="192">
      <c r="L192" s="410"/>
    </row>
    <row r="193">
      <c r="L193" s="410"/>
    </row>
    <row r="194">
      <c r="L194" s="410"/>
    </row>
    <row r="195">
      <c r="L195" s="410"/>
    </row>
    <row r="196">
      <c r="L196" s="410"/>
    </row>
    <row r="197">
      <c r="L197" s="410"/>
    </row>
    <row r="198">
      <c r="L198" s="410"/>
    </row>
    <row r="199">
      <c r="L199" s="410"/>
    </row>
    <row r="200">
      <c r="L200" s="410"/>
    </row>
    <row r="201">
      <c r="L201" s="410"/>
    </row>
    <row r="202">
      <c r="L202" s="410"/>
    </row>
    <row r="203">
      <c r="L203" s="410"/>
    </row>
    <row r="204">
      <c r="L204" s="410"/>
    </row>
    <row r="205">
      <c r="L205" s="410"/>
    </row>
    <row r="206">
      <c r="L206" s="410"/>
    </row>
    <row r="207">
      <c r="L207" s="410"/>
    </row>
    <row r="208">
      <c r="L208" s="410"/>
    </row>
    <row r="209">
      <c r="L209" s="410"/>
    </row>
    <row r="210">
      <c r="L210" s="410"/>
    </row>
    <row r="211">
      <c r="L211" s="410"/>
    </row>
    <row r="212">
      <c r="L212" s="410"/>
    </row>
    <row r="213">
      <c r="L213" s="410"/>
    </row>
    <row r="214">
      <c r="L214" s="410"/>
    </row>
    <row r="215">
      <c r="L215" s="410"/>
    </row>
    <row r="216">
      <c r="L216" s="410"/>
    </row>
    <row r="217">
      <c r="L217" s="410"/>
    </row>
    <row r="218">
      <c r="L218" s="410"/>
    </row>
    <row r="219">
      <c r="L219" s="410"/>
    </row>
    <row r="220">
      <c r="L220" s="410"/>
    </row>
    <row r="221">
      <c r="L221" s="410"/>
    </row>
    <row r="222">
      <c r="L222" s="410"/>
    </row>
    <row r="223">
      <c r="L223" s="410"/>
    </row>
    <row r="224">
      <c r="L224" s="410"/>
    </row>
    <row r="225">
      <c r="L225" s="410"/>
    </row>
    <row r="226">
      <c r="L226" s="410"/>
    </row>
    <row r="227">
      <c r="L227" s="410"/>
    </row>
    <row r="228">
      <c r="L228" s="410"/>
    </row>
    <row r="229">
      <c r="L229" s="410"/>
    </row>
    <row r="230">
      <c r="L230" s="410"/>
    </row>
    <row r="231">
      <c r="L231" s="410"/>
    </row>
    <row r="232">
      <c r="L232" s="410"/>
    </row>
    <row r="233">
      <c r="L233" s="410"/>
    </row>
    <row r="234">
      <c r="L234" s="410"/>
    </row>
    <row r="235">
      <c r="L235" s="410"/>
    </row>
    <row r="236">
      <c r="L236" s="410"/>
    </row>
    <row r="237">
      <c r="L237" s="410"/>
    </row>
    <row r="238">
      <c r="L238" s="410"/>
    </row>
    <row r="239">
      <c r="L239" s="410"/>
    </row>
    <row r="240">
      <c r="L240" s="410"/>
    </row>
    <row r="241">
      <c r="L241" s="410"/>
    </row>
    <row r="242">
      <c r="L242" s="410"/>
    </row>
    <row r="243">
      <c r="L243" s="410"/>
    </row>
    <row r="244">
      <c r="L244" s="410"/>
    </row>
    <row r="245">
      <c r="L245" s="410"/>
    </row>
    <row r="246">
      <c r="L246" s="410"/>
    </row>
    <row r="247">
      <c r="L247" s="410"/>
    </row>
    <row r="248">
      <c r="L248" s="410"/>
    </row>
    <row r="249">
      <c r="L249" s="410"/>
    </row>
    <row r="250">
      <c r="L250" s="410"/>
    </row>
    <row r="251">
      <c r="L251" s="410"/>
    </row>
    <row r="252">
      <c r="L252" s="410"/>
    </row>
    <row r="253">
      <c r="L253" s="410"/>
    </row>
    <row r="254">
      <c r="L254" s="410"/>
    </row>
    <row r="255">
      <c r="L255" s="410"/>
    </row>
    <row r="256">
      <c r="L256" s="410"/>
    </row>
    <row r="257">
      <c r="L257" s="410"/>
    </row>
    <row r="258">
      <c r="L258" s="410"/>
    </row>
    <row r="259">
      <c r="L259" s="410"/>
    </row>
    <row r="260">
      <c r="L260" s="410"/>
    </row>
    <row r="261">
      <c r="L261" s="410"/>
    </row>
    <row r="262">
      <c r="L262" s="410"/>
    </row>
    <row r="263">
      <c r="L263" s="410"/>
    </row>
    <row r="264">
      <c r="L264" s="410"/>
    </row>
    <row r="265">
      <c r="L265" s="410"/>
    </row>
    <row r="266">
      <c r="L266" s="410"/>
    </row>
    <row r="267">
      <c r="L267" s="410"/>
    </row>
    <row r="268">
      <c r="L268" s="410"/>
    </row>
    <row r="269">
      <c r="L269" s="410"/>
    </row>
    <row r="270">
      <c r="L270" s="410"/>
    </row>
    <row r="271">
      <c r="L271" s="410"/>
    </row>
    <row r="272">
      <c r="L272" s="410"/>
    </row>
    <row r="273">
      <c r="L273" s="410"/>
    </row>
    <row r="274">
      <c r="L274" s="410"/>
    </row>
    <row r="275">
      <c r="L275" s="410"/>
    </row>
    <row r="276">
      <c r="L276" s="410"/>
    </row>
    <row r="277">
      <c r="L277" s="410"/>
    </row>
    <row r="278">
      <c r="L278" s="410"/>
    </row>
    <row r="279">
      <c r="L279" s="410"/>
    </row>
    <row r="280">
      <c r="L280" s="410"/>
    </row>
    <row r="281">
      <c r="L281" s="410"/>
    </row>
    <row r="282">
      <c r="L282" s="410"/>
    </row>
    <row r="283">
      <c r="L283" s="410"/>
    </row>
    <row r="284">
      <c r="L284" s="410"/>
    </row>
    <row r="285">
      <c r="L285" s="410"/>
    </row>
    <row r="286">
      <c r="L286" s="410"/>
    </row>
    <row r="287">
      <c r="L287" s="410"/>
    </row>
    <row r="288">
      <c r="L288" s="410"/>
    </row>
    <row r="289">
      <c r="L289" s="410"/>
    </row>
    <row r="290">
      <c r="L290" s="410"/>
    </row>
    <row r="291">
      <c r="L291" s="410"/>
    </row>
    <row r="292">
      <c r="L292" s="410"/>
    </row>
    <row r="293">
      <c r="L293" s="410"/>
    </row>
    <row r="294">
      <c r="L294" s="410"/>
    </row>
    <row r="295">
      <c r="L295" s="410"/>
    </row>
    <row r="296">
      <c r="L296" s="410"/>
    </row>
    <row r="297">
      <c r="L297" s="410"/>
    </row>
    <row r="298">
      <c r="L298" s="410"/>
    </row>
    <row r="299">
      <c r="L299" s="410"/>
    </row>
    <row r="300">
      <c r="L300" s="410"/>
    </row>
    <row r="301">
      <c r="L301" s="410"/>
    </row>
    <row r="302">
      <c r="L302" s="410"/>
    </row>
    <row r="303">
      <c r="L303" s="410"/>
    </row>
    <row r="304">
      <c r="L304" s="410"/>
    </row>
    <row r="305">
      <c r="L305" s="410"/>
    </row>
    <row r="306">
      <c r="L306" s="410"/>
    </row>
    <row r="307">
      <c r="L307" s="410"/>
    </row>
    <row r="308">
      <c r="L308" s="410"/>
    </row>
    <row r="309">
      <c r="L309" s="410"/>
    </row>
    <row r="310">
      <c r="L310" s="410"/>
    </row>
    <row r="311">
      <c r="L311" s="410"/>
    </row>
    <row r="312">
      <c r="L312" s="410"/>
    </row>
    <row r="313">
      <c r="L313" s="410"/>
    </row>
    <row r="314">
      <c r="L314" s="410"/>
    </row>
    <row r="315">
      <c r="L315" s="410"/>
    </row>
    <row r="316">
      <c r="L316" s="410"/>
    </row>
    <row r="317">
      <c r="L317" s="410"/>
    </row>
    <row r="318">
      <c r="L318" s="410"/>
    </row>
    <row r="319">
      <c r="L319" s="410"/>
    </row>
    <row r="320">
      <c r="L320" s="410"/>
    </row>
    <row r="321">
      <c r="L321" s="410"/>
    </row>
    <row r="322">
      <c r="L322" s="410"/>
    </row>
    <row r="323">
      <c r="L323" s="410"/>
    </row>
    <row r="324">
      <c r="L324" s="410"/>
    </row>
    <row r="325">
      <c r="L325" s="410"/>
    </row>
    <row r="326">
      <c r="L326" s="410"/>
    </row>
    <row r="327">
      <c r="L327" s="410"/>
    </row>
    <row r="328">
      <c r="L328" s="410"/>
    </row>
    <row r="329">
      <c r="L329" s="410"/>
    </row>
    <row r="330">
      <c r="L330" s="410"/>
    </row>
    <row r="331">
      <c r="L331" s="410"/>
    </row>
    <row r="332">
      <c r="L332" s="410"/>
    </row>
    <row r="333">
      <c r="L333" s="410"/>
    </row>
    <row r="334">
      <c r="L334" s="410"/>
    </row>
    <row r="335">
      <c r="L335" s="410"/>
    </row>
    <row r="336">
      <c r="L336" s="410"/>
    </row>
    <row r="337">
      <c r="L337" s="410"/>
    </row>
    <row r="338">
      <c r="L338" s="410"/>
    </row>
    <row r="339">
      <c r="L339" s="410"/>
    </row>
    <row r="340">
      <c r="L340" s="410"/>
    </row>
    <row r="341">
      <c r="L341" s="410"/>
    </row>
    <row r="342">
      <c r="L342" s="410"/>
    </row>
    <row r="343">
      <c r="L343" s="410"/>
    </row>
    <row r="344">
      <c r="L344" s="410"/>
    </row>
    <row r="345">
      <c r="L345" s="410"/>
    </row>
    <row r="346">
      <c r="L346" s="410"/>
    </row>
    <row r="347">
      <c r="L347" s="410"/>
    </row>
    <row r="348">
      <c r="L348" s="410"/>
    </row>
    <row r="349">
      <c r="L349" s="410"/>
    </row>
    <row r="350">
      <c r="L350" s="410"/>
    </row>
    <row r="351">
      <c r="L351" s="410"/>
    </row>
    <row r="352">
      <c r="L352" s="410"/>
    </row>
    <row r="353">
      <c r="L353" s="410"/>
    </row>
    <row r="354">
      <c r="L354" s="410"/>
    </row>
    <row r="355">
      <c r="L355" s="410"/>
    </row>
    <row r="356">
      <c r="L356" s="410"/>
    </row>
    <row r="357">
      <c r="L357" s="410"/>
    </row>
    <row r="358">
      <c r="L358" s="410"/>
    </row>
    <row r="359">
      <c r="L359" s="410"/>
    </row>
    <row r="360">
      <c r="L360" s="410"/>
    </row>
    <row r="361">
      <c r="L361" s="410"/>
    </row>
    <row r="362">
      <c r="L362" s="410"/>
    </row>
    <row r="363">
      <c r="L363" s="410"/>
    </row>
    <row r="364">
      <c r="L364" s="410"/>
    </row>
    <row r="365">
      <c r="L365" s="410"/>
    </row>
    <row r="366">
      <c r="L366" s="410"/>
    </row>
    <row r="367">
      <c r="L367" s="410"/>
    </row>
    <row r="368">
      <c r="L368" s="410"/>
    </row>
    <row r="369">
      <c r="L369" s="410"/>
    </row>
    <row r="370">
      <c r="L370" s="410"/>
    </row>
    <row r="371">
      <c r="L371" s="410"/>
    </row>
    <row r="372">
      <c r="L372" s="410"/>
    </row>
    <row r="373">
      <c r="L373" s="410"/>
    </row>
    <row r="374">
      <c r="L374" s="410"/>
    </row>
    <row r="375">
      <c r="L375" s="410"/>
    </row>
    <row r="376">
      <c r="L376" s="410"/>
    </row>
    <row r="377">
      <c r="L377" s="410"/>
    </row>
    <row r="378">
      <c r="L378" s="410"/>
    </row>
    <row r="379">
      <c r="L379" s="410"/>
    </row>
    <row r="380">
      <c r="L380" s="410"/>
    </row>
    <row r="381">
      <c r="L381" s="410"/>
    </row>
    <row r="382">
      <c r="L382" s="410"/>
    </row>
    <row r="383">
      <c r="L383" s="410"/>
    </row>
    <row r="384">
      <c r="L384" s="410"/>
    </row>
    <row r="385">
      <c r="L385" s="410"/>
    </row>
    <row r="386">
      <c r="L386" s="410"/>
    </row>
    <row r="387">
      <c r="L387" s="410"/>
    </row>
    <row r="388">
      <c r="L388" s="410"/>
    </row>
    <row r="389">
      <c r="L389" s="410"/>
    </row>
    <row r="390">
      <c r="L390" s="410"/>
    </row>
    <row r="391">
      <c r="L391" s="410"/>
    </row>
    <row r="392">
      <c r="L392" s="410"/>
    </row>
    <row r="393">
      <c r="L393" s="410"/>
    </row>
    <row r="394">
      <c r="L394" s="410"/>
    </row>
    <row r="395">
      <c r="L395" s="410"/>
    </row>
    <row r="396">
      <c r="L396" s="410"/>
    </row>
    <row r="397">
      <c r="L397" s="410"/>
    </row>
    <row r="398">
      <c r="L398" s="410"/>
    </row>
    <row r="399">
      <c r="L399" s="410"/>
    </row>
    <row r="400">
      <c r="L400" s="410"/>
    </row>
    <row r="401">
      <c r="L401" s="410"/>
    </row>
    <row r="402">
      <c r="L402" s="410"/>
    </row>
    <row r="403">
      <c r="L403" s="410"/>
    </row>
    <row r="404">
      <c r="L404" s="410"/>
    </row>
    <row r="405">
      <c r="L405" s="410"/>
    </row>
    <row r="406">
      <c r="L406" s="410"/>
    </row>
    <row r="407">
      <c r="L407" s="410"/>
    </row>
    <row r="408">
      <c r="L408" s="410"/>
    </row>
    <row r="409">
      <c r="L409" s="410"/>
    </row>
    <row r="410">
      <c r="L410" s="410"/>
    </row>
    <row r="411">
      <c r="L411" s="410"/>
    </row>
    <row r="412">
      <c r="L412" s="410"/>
    </row>
    <row r="413">
      <c r="L413" s="410"/>
    </row>
    <row r="414">
      <c r="L414" s="410"/>
    </row>
    <row r="415">
      <c r="L415" s="410"/>
    </row>
    <row r="416">
      <c r="L416" s="410"/>
    </row>
    <row r="417">
      <c r="L417" s="410"/>
    </row>
    <row r="418">
      <c r="L418" s="410"/>
    </row>
    <row r="419">
      <c r="L419" s="410"/>
    </row>
    <row r="420">
      <c r="L420" s="410"/>
    </row>
    <row r="421">
      <c r="L421" s="410"/>
    </row>
    <row r="422">
      <c r="L422" s="410"/>
    </row>
    <row r="423">
      <c r="L423" s="410"/>
    </row>
    <row r="424">
      <c r="L424" s="410"/>
    </row>
    <row r="425">
      <c r="L425" s="410"/>
    </row>
    <row r="426">
      <c r="L426" s="410"/>
    </row>
    <row r="427">
      <c r="L427" s="410"/>
    </row>
    <row r="428">
      <c r="L428" s="410"/>
    </row>
    <row r="429">
      <c r="L429" s="410"/>
    </row>
    <row r="430">
      <c r="L430" s="410"/>
    </row>
    <row r="431">
      <c r="L431" s="410"/>
    </row>
    <row r="432">
      <c r="L432" s="410"/>
    </row>
    <row r="433">
      <c r="L433" s="410"/>
    </row>
    <row r="434">
      <c r="L434" s="410"/>
    </row>
    <row r="435">
      <c r="L435" s="410"/>
    </row>
    <row r="436">
      <c r="L436" s="410"/>
    </row>
    <row r="437">
      <c r="L437" s="410"/>
    </row>
    <row r="438">
      <c r="L438" s="410"/>
    </row>
    <row r="439">
      <c r="L439" s="410"/>
    </row>
    <row r="440">
      <c r="L440" s="410"/>
    </row>
    <row r="441">
      <c r="L441" s="410"/>
    </row>
    <row r="442">
      <c r="L442" s="410"/>
    </row>
    <row r="443">
      <c r="L443" s="410"/>
    </row>
    <row r="444">
      <c r="L444" s="410"/>
    </row>
    <row r="445">
      <c r="L445" s="410"/>
    </row>
    <row r="446">
      <c r="L446" s="410"/>
    </row>
    <row r="447">
      <c r="L447" s="410"/>
    </row>
    <row r="448">
      <c r="L448" s="410"/>
    </row>
    <row r="449">
      <c r="L449" s="410"/>
    </row>
    <row r="450">
      <c r="L450" s="410"/>
    </row>
    <row r="451">
      <c r="L451" s="410"/>
    </row>
    <row r="452">
      <c r="L452" s="410"/>
    </row>
    <row r="453">
      <c r="L453" s="410"/>
    </row>
    <row r="454">
      <c r="L454" s="410"/>
    </row>
    <row r="455">
      <c r="L455" s="410"/>
    </row>
    <row r="456">
      <c r="L456" s="410"/>
    </row>
    <row r="457">
      <c r="L457" s="410"/>
    </row>
    <row r="458">
      <c r="L458" s="410"/>
    </row>
    <row r="459">
      <c r="L459" s="410"/>
    </row>
    <row r="460">
      <c r="L460" s="410"/>
    </row>
    <row r="461">
      <c r="L461" s="410"/>
    </row>
    <row r="462">
      <c r="L462" s="410"/>
    </row>
    <row r="463">
      <c r="L463" s="410"/>
    </row>
    <row r="464">
      <c r="L464" s="410"/>
    </row>
    <row r="465">
      <c r="L465" s="410"/>
    </row>
    <row r="466">
      <c r="L466" s="410"/>
    </row>
    <row r="467">
      <c r="L467" s="410"/>
    </row>
    <row r="468">
      <c r="L468" s="410"/>
    </row>
    <row r="469">
      <c r="L469" s="410"/>
    </row>
    <row r="470">
      <c r="L470" s="410"/>
    </row>
    <row r="471">
      <c r="L471" s="410"/>
    </row>
    <row r="472">
      <c r="L472" s="410"/>
    </row>
    <row r="473">
      <c r="L473" s="410"/>
    </row>
    <row r="474">
      <c r="L474" s="410"/>
    </row>
    <row r="475">
      <c r="L475" s="410"/>
    </row>
    <row r="476">
      <c r="L476" s="410"/>
    </row>
    <row r="477">
      <c r="L477" s="410"/>
    </row>
    <row r="478">
      <c r="L478" s="410"/>
    </row>
    <row r="479">
      <c r="L479" s="410"/>
    </row>
    <row r="480">
      <c r="L480" s="410"/>
    </row>
    <row r="481">
      <c r="L481" s="410"/>
    </row>
    <row r="482">
      <c r="L482" s="410"/>
    </row>
    <row r="483">
      <c r="L483" s="410"/>
    </row>
    <row r="484">
      <c r="L484" s="410"/>
    </row>
    <row r="485">
      <c r="L485" s="410"/>
    </row>
    <row r="486">
      <c r="L486" s="410"/>
    </row>
    <row r="487">
      <c r="L487" s="410"/>
    </row>
    <row r="488">
      <c r="L488" s="410"/>
    </row>
    <row r="489">
      <c r="L489" s="410"/>
    </row>
    <row r="490">
      <c r="L490" s="410"/>
    </row>
    <row r="491">
      <c r="L491" s="410"/>
    </row>
    <row r="492">
      <c r="L492" s="410"/>
    </row>
    <row r="493">
      <c r="L493" s="410"/>
    </row>
    <row r="494">
      <c r="L494" s="410"/>
    </row>
    <row r="495">
      <c r="L495" s="410"/>
    </row>
    <row r="496">
      <c r="L496" s="410"/>
    </row>
    <row r="497">
      <c r="L497" s="410"/>
    </row>
    <row r="498">
      <c r="L498" s="410"/>
    </row>
    <row r="499">
      <c r="L499" s="410"/>
    </row>
    <row r="500">
      <c r="L500" s="410"/>
    </row>
    <row r="501">
      <c r="L501" s="410"/>
    </row>
    <row r="502">
      <c r="L502" s="410"/>
    </row>
    <row r="503">
      <c r="L503" s="410"/>
    </row>
    <row r="504">
      <c r="L504" s="410"/>
    </row>
    <row r="505">
      <c r="L505" s="410"/>
    </row>
    <row r="506">
      <c r="L506" s="410"/>
    </row>
    <row r="507">
      <c r="L507" s="410"/>
    </row>
    <row r="508">
      <c r="L508" s="410"/>
    </row>
    <row r="509">
      <c r="L509" s="410"/>
    </row>
    <row r="510">
      <c r="L510" s="410"/>
    </row>
    <row r="511">
      <c r="L511" s="410"/>
    </row>
    <row r="512">
      <c r="L512" s="410"/>
    </row>
    <row r="513">
      <c r="L513" s="410"/>
    </row>
    <row r="514">
      <c r="L514" s="410"/>
    </row>
    <row r="515">
      <c r="L515" s="410"/>
    </row>
    <row r="516">
      <c r="L516" s="410"/>
    </row>
    <row r="517">
      <c r="L517" s="410"/>
    </row>
    <row r="518">
      <c r="L518" s="410"/>
    </row>
    <row r="519">
      <c r="L519" s="410"/>
    </row>
    <row r="520">
      <c r="L520" s="410"/>
    </row>
    <row r="521">
      <c r="L521" s="410"/>
    </row>
    <row r="522">
      <c r="L522" s="410"/>
    </row>
    <row r="523">
      <c r="L523" s="410"/>
    </row>
    <row r="524">
      <c r="L524" s="410"/>
    </row>
    <row r="525">
      <c r="L525" s="410"/>
    </row>
    <row r="526">
      <c r="L526" s="410"/>
    </row>
    <row r="527">
      <c r="L527" s="410"/>
    </row>
    <row r="528">
      <c r="L528" s="410"/>
    </row>
    <row r="529">
      <c r="L529" s="410"/>
    </row>
    <row r="530">
      <c r="L530" s="410"/>
    </row>
    <row r="531">
      <c r="L531" s="410"/>
    </row>
    <row r="532">
      <c r="L532" s="410"/>
    </row>
    <row r="533">
      <c r="L533" s="410"/>
    </row>
    <row r="534">
      <c r="L534" s="410"/>
    </row>
    <row r="535">
      <c r="L535" s="410"/>
    </row>
    <row r="536">
      <c r="L536" s="410"/>
    </row>
    <row r="537">
      <c r="L537" s="410"/>
    </row>
    <row r="538">
      <c r="L538" s="410"/>
    </row>
    <row r="539">
      <c r="L539" s="410"/>
    </row>
    <row r="540">
      <c r="L540" s="410"/>
    </row>
    <row r="541">
      <c r="L541" s="410"/>
    </row>
    <row r="542">
      <c r="L542" s="410"/>
    </row>
    <row r="543">
      <c r="L543" s="410"/>
    </row>
    <row r="544">
      <c r="L544" s="410"/>
    </row>
    <row r="545">
      <c r="L545" s="410"/>
    </row>
    <row r="546">
      <c r="L546" s="410"/>
    </row>
    <row r="547">
      <c r="L547" s="410"/>
    </row>
    <row r="548">
      <c r="L548" s="410"/>
    </row>
    <row r="549">
      <c r="L549" s="410"/>
    </row>
    <row r="550">
      <c r="L550" s="410"/>
    </row>
    <row r="551">
      <c r="L551" s="410"/>
    </row>
    <row r="552">
      <c r="L552" s="410"/>
    </row>
    <row r="553">
      <c r="L553" s="410"/>
    </row>
    <row r="554">
      <c r="L554" s="410"/>
    </row>
    <row r="555">
      <c r="L555" s="410"/>
    </row>
    <row r="556">
      <c r="L556" s="410"/>
    </row>
    <row r="557">
      <c r="L557" s="410"/>
    </row>
    <row r="558">
      <c r="L558" s="410"/>
    </row>
    <row r="559">
      <c r="L559" s="410"/>
    </row>
    <row r="560">
      <c r="L560" s="410"/>
    </row>
    <row r="561">
      <c r="L561" s="410"/>
    </row>
    <row r="562">
      <c r="L562" s="410"/>
    </row>
    <row r="563">
      <c r="L563" s="410"/>
    </row>
    <row r="564">
      <c r="L564" s="410"/>
    </row>
    <row r="565">
      <c r="L565" s="410"/>
    </row>
    <row r="566">
      <c r="L566" s="410"/>
    </row>
    <row r="567">
      <c r="L567" s="410"/>
    </row>
    <row r="568">
      <c r="L568" s="410"/>
    </row>
    <row r="569">
      <c r="L569" s="410"/>
    </row>
    <row r="570">
      <c r="L570" s="410"/>
    </row>
    <row r="571">
      <c r="L571" s="410"/>
    </row>
    <row r="572">
      <c r="L572" s="410"/>
    </row>
    <row r="573">
      <c r="L573" s="410"/>
    </row>
    <row r="574">
      <c r="L574" s="410"/>
    </row>
    <row r="575">
      <c r="L575" s="410"/>
    </row>
    <row r="576">
      <c r="L576" s="410"/>
    </row>
    <row r="577">
      <c r="L577" s="410"/>
    </row>
    <row r="578">
      <c r="L578" s="410"/>
    </row>
    <row r="579">
      <c r="L579" s="410"/>
    </row>
    <row r="580">
      <c r="L580" s="410"/>
    </row>
    <row r="581">
      <c r="L581" s="410"/>
    </row>
    <row r="582">
      <c r="L582" s="410"/>
    </row>
    <row r="583">
      <c r="L583" s="410"/>
    </row>
    <row r="584">
      <c r="L584" s="410"/>
    </row>
    <row r="585">
      <c r="L585" s="410"/>
    </row>
    <row r="586">
      <c r="L586" s="410"/>
    </row>
    <row r="587">
      <c r="L587" s="410"/>
    </row>
    <row r="588">
      <c r="L588" s="410"/>
    </row>
    <row r="589">
      <c r="L589" s="410"/>
    </row>
    <row r="590">
      <c r="L590" s="410"/>
    </row>
    <row r="591">
      <c r="L591" s="410"/>
    </row>
    <row r="592">
      <c r="L592" s="410"/>
    </row>
    <row r="593">
      <c r="L593" s="410"/>
    </row>
    <row r="594">
      <c r="L594" s="410"/>
    </row>
    <row r="595">
      <c r="L595" s="410"/>
    </row>
    <row r="596">
      <c r="L596" s="410"/>
    </row>
    <row r="597">
      <c r="L597" s="410"/>
    </row>
    <row r="598">
      <c r="L598" s="410"/>
    </row>
    <row r="599">
      <c r="L599" s="410"/>
    </row>
    <row r="600">
      <c r="L600" s="410"/>
    </row>
    <row r="601">
      <c r="L601" s="410"/>
    </row>
    <row r="602">
      <c r="L602" s="410"/>
    </row>
    <row r="603">
      <c r="L603" s="410"/>
    </row>
    <row r="604">
      <c r="L604" s="410"/>
    </row>
    <row r="605">
      <c r="L605" s="410"/>
    </row>
    <row r="606">
      <c r="L606" s="410"/>
    </row>
    <row r="607">
      <c r="L607" s="410"/>
    </row>
    <row r="608">
      <c r="L608" s="410"/>
    </row>
    <row r="609">
      <c r="L609" s="410"/>
    </row>
    <row r="610">
      <c r="L610" s="410"/>
    </row>
    <row r="611">
      <c r="L611" s="410"/>
    </row>
    <row r="612">
      <c r="L612" s="410"/>
    </row>
    <row r="613">
      <c r="L613" s="410"/>
    </row>
    <row r="614">
      <c r="L614" s="410"/>
    </row>
    <row r="615">
      <c r="L615" s="410"/>
    </row>
    <row r="616">
      <c r="L616" s="410"/>
    </row>
    <row r="617">
      <c r="L617" s="410"/>
    </row>
    <row r="618">
      <c r="L618" s="410"/>
    </row>
    <row r="619">
      <c r="L619" s="410"/>
    </row>
    <row r="620">
      <c r="L620" s="410"/>
    </row>
    <row r="621">
      <c r="L621" s="410"/>
    </row>
    <row r="622">
      <c r="L622" s="410"/>
    </row>
    <row r="623">
      <c r="L623" s="410"/>
    </row>
    <row r="624">
      <c r="L624" s="410"/>
    </row>
    <row r="625">
      <c r="L625" s="410"/>
    </row>
    <row r="626">
      <c r="L626" s="410"/>
    </row>
    <row r="627">
      <c r="L627" s="410"/>
    </row>
    <row r="628">
      <c r="L628" s="410"/>
    </row>
    <row r="629">
      <c r="L629" s="410"/>
    </row>
    <row r="630">
      <c r="L630" s="410"/>
    </row>
    <row r="631">
      <c r="L631" s="410"/>
    </row>
    <row r="632">
      <c r="L632" s="410"/>
    </row>
    <row r="633">
      <c r="L633" s="410"/>
    </row>
    <row r="634">
      <c r="L634" s="410"/>
    </row>
    <row r="635">
      <c r="L635" s="410"/>
    </row>
    <row r="636">
      <c r="L636" s="410"/>
    </row>
    <row r="637">
      <c r="L637" s="410"/>
    </row>
    <row r="638">
      <c r="L638" s="410"/>
    </row>
    <row r="639">
      <c r="L639" s="410"/>
    </row>
    <row r="640">
      <c r="L640" s="410"/>
    </row>
    <row r="641">
      <c r="L641" s="410"/>
    </row>
    <row r="642">
      <c r="L642" s="410"/>
    </row>
    <row r="643">
      <c r="L643" s="410"/>
    </row>
    <row r="644">
      <c r="L644" s="410"/>
    </row>
    <row r="645">
      <c r="L645" s="410"/>
    </row>
    <row r="646">
      <c r="L646" s="410"/>
    </row>
    <row r="647">
      <c r="L647" s="410"/>
    </row>
    <row r="648">
      <c r="L648" s="410"/>
    </row>
    <row r="649">
      <c r="L649" s="410"/>
    </row>
    <row r="650">
      <c r="L650" s="410"/>
    </row>
    <row r="651">
      <c r="L651" s="410"/>
    </row>
    <row r="652">
      <c r="L652" s="410"/>
    </row>
    <row r="653">
      <c r="L653" s="410"/>
    </row>
    <row r="654">
      <c r="L654" s="410"/>
    </row>
    <row r="655">
      <c r="L655" s="410"/>
    </row>
    <row r="656">
      <c r="L656" s="410"/>
    </row>
    <row r="657">
      <c r="L657" s="410"/>
    </row>
    <row r="658">
      <c r="L658" s="410"/>
    </row>
    <row r="659">
      <c r="L659" s="410"/>
    </row>
    <row r="660">
      <c r="L660" s="410"/>
    </row>
    <row r="661">
      <c r="L661" s="410"/>
    </row>
    <row r="662">
      <c r="L662" s="410"/>
    </row>
    <row r="663">
      <c r="L663" s="410"/>
    </row>
    <row r="664">
      <c r="L664" s="410"/>
    </row>
    <row r="665">
      <c r="L665" s="410"/>
    </row>
    <row r="666">
      <c r="L666" s="410"/>
    </row>
    <row r="667">
      <c r="L667" s="410"/>
    </row>
    <row r="668">
      <c r="L668" s="410"/>
    </row>
    <row r="669">
      <c r="L669" s="410"/>
    </row>
    <row r="670">
      <c r="L670" s="410"/>
    </row>
    <row r="671">
      <c r="L671" s="410"/>
    </row>
    <row r="672">
      <c r="L672" s="410"/>
    </row>
    <row r="673">
      <c r="L673" s="410"/>
    </row>
    <row r="674">
      <c r="L674" s="410"/>
    </row>
    <row r="675">
      <c r="L675" s="410"/>
    </row>
    <row r="676">
      <c r="L676" s="410"/>
    </row>
    <row r="677">
      <c r="L677" s="410"/>
    </row>
    <row r="678">
      <c r="L678" s="410"/>
    </row>
    <row r="679">
      <c r="L679" s="410"/>
    </row>
    <row r="680">
      <c r="L680" s="410"/>
    </row>
    <row r="681">
      <c r="L681" s="410"/>
    </row>
    <row r="682">
      <c r="L682" s="410"/>
    </row>
    <row r="683">
      <c r="L683" s="410"/>
    </row>
    <row r="684">
      <c r="L684" s="410"/>
    </row>
    <row r="685">
      <c r="L685" s="410"/>
    </row>
    <row r="686">
      <c r="L686" s="410"/>
    </row>
    <row r="687">
      <c r="L687" s="410"/>
    </row>
    <row r="688">
      <c r="L688" s="410"/>
    </row>
    <row r="689">
      <c r="L689" s="410"/>
    </row>
    <row r="690">
      <c r="L690" s="410"/>
    </row>
    <row r="691">
      <c r="L691" s="410"/>
    </row>
    <row r="692">
      <c r="L692" s="410"/>
    </row>
    <row r="693">
      <c r="L693" s="410"/>
    </row>
    <row r="694">
      <c r="L694" s="410"/>
    </row>
    <row r="695">
      <c r="L695" s="410"/>
    </row>
    <row r="696">
      <c r="L696" s="410"/>
    </row>
    <row r="697">
      <c r="L697" s="410"/>
    </row>
    <row r="698">
      <c r="L698" s="410"/>
    </row>
    <row r="699">
      <c r="L699" s="410"/>
    </row>
    <row r="700">
      <c r="L700" s="410"/>
    </row>
    <row r="701">
      <c r="L701" s="410"/>
    </row>
    <row r="702">
      <c r="L702" s="410"/>
    </row>
    <row r="703">
      <c r="L703" s="410"/>
    </row>
    <row r="704">
      <c r="L704" s="410"/>
    </row>
    <row r="705">
      <c r="L705" s="410"/>
    </row>
    <row r="706">
      <c r="L706" s="410"/>
    </row>
    <row r="707">
      <c r="L707" s="410"/>
    </row>
    <row r="708">
      <c r="L708" s="410"/>
    </row>
    <row r="709">
      <c r="L709" s="410"/>
    </row>
    <row r="710">
      <c r="L710" s="410"/>
    </row>
    <row r="711">
      <c r="L711" s="410"/>
    </row>
    <row r="712">
      <c r="L712" s="410"/>
    </row>
    <row r="713">
      <c r="L713" s="410"/>
    </row>
    <row r="714">
      <c r="L714" s="410"/>
    </row>
    <row r="715">
      <c r="L715" s="410"/>
    </row>
    <row r="716">
      <c r="L716" s="410"/>
    </row>
    <row r="717">
      <c r="L717" s="410"/>
    </row>
    <row r="718">
      <c r="L718" s="410"/>
    </row>
    <row r="719">
      <c r="L719" s="410"/>
    </row>
    <row r="720">
      <c r="L720" s="410"/>
    </row>
    <row r="721">
      <c r="L721" s="410"/>
    </row>
    <row r="722">
      <c r="L722" s="410"/>
    </row>
    <row r="723">
      <c r="L723" s="410"/>
    </row>
    <row r="724">
      <c r="L724" s="410"/>
    </row>
    <row r="725">
      <c r="L725" s="410"/>
    </row>
    <row r="726">
      <c r="L726" s="410"/>
    </row>
    <row r="727">
      <c r="L727" s="410"/>
    </row>
    <row r="728">
      <c r="L728" s="410"/>
    </row>
    <row r="729">
      <c r="L729" s="410"/>
    </row>
    <row r="730">
      <c r="L730" s="410"/>
    </row>
    <row r="731">
      <c r="L731" s="410"/>
    </row>
    <row r="732">
      <c r="L732" s="410"/>
    </row>
    <row r="733">
      <c r="L733" s="410"/>
    </row>
    <row r="734">
      <c r="L734" s="410"/>
    </row>
    <row r="735">
      <c r="L735" s="410"/>
    </row>
    <row r="736">
      <c r="L736" s="410"/>
    </row>
    <row r="737">
      <c r="L737" s="410"/>
    </row>
    <row r="738">
      <c r="L738" s="410"/>
    </row>
    <row r="739">
      <c r="L739" s="410"/>
    </row>
    <row r="740">
      <c r="L740" s="410"/>
    </row>
    <row r="741">
      <c r="L741" s="410"/>
    </row>
    <row r="742">
      <c r="L742" s="410"/>
    </row>
    <row r="743">
      <c r="L743" s="410"/>
    </row>
    <row r="744">
      <c r="L744" s="410"/>
    </row>
    <row r="745">
      <c r="L745" s="410"/>
    </row>
    <row r="746">
      <c r="L746" s="410"/>
    </row>
    <row r="747">
      <c r="L747" s="410"/>
    </row>
    <row r="748">
      <c r="L748" s="410"/>
    </row>
    <row r="749">
      <c r="L749" s="410"/>
    </row>
    <row r="750">
      <c r="L750" s="410"/>
    </row>
    <row r="751">
      <c r="L751" s="410"/>
    </row>
    <row r="752">
      <c r="L752" s="410"/>
    </row>
    <row r="753">
      <c r="L753" s="410"/>
    </row>
    <row r="754">
      <c r="L754" s="410"/>
    </row>
    <row r="755">
      <c r="L755" s="410"/>
    </row>
    <row r="756">
      <c r="L756" s="410"/>
    </row>
    <row r="757">
      <c r="L757" s="410"/>
    </row>
    <row r="758">
      <c r="L758" s="410"/>
    </row>
    <row r="759">
      <c r="L759" s="410"/>
    </row>
    <row r="760">
      <c r="L760" s="410"/>
    </row>
    <row r="761">
      <c r="L761" s="410"/>
    </row>
    <row r="762">
      <c r="L762" s="410"/>
    </row>
    <row r="763">
      <c r="L763" s="410"/>
    </row>
    <row r="764">
      <c r="L764" s="410"/>
    </row>
    <row r="765">
      <c r="L765" s="410"/>
    </row>
    <row r="766">
      <c r="L766" s="410"/>
    </row>
    <row r="767">
      <c r="L767" s="410"/>
    </row>
    <row r="768">
      <c r="L768" s="410"/>
    </row>
    <row r="769">
      <c r="L769" s="410"/>
    </row>
    <row r="770">
      <c r="L770" s="410"/>
    </row>
    <row r="771">
      <c r="L771" s="410"/>
    </row>
    <row r="772">
      <c r="L772" s="410"/>
    </row>
    <row r="773">
      <c r="L773" s="410"/>
    </row>
    <row r="774">
      <c r="L774" s="410"/>
    </row>
    <row r="775">
      <c r="L775" s="410"/>
    </row>
    <row r="776">
      <c r="L776" s="410"/>
    </row>
    <row r="777">
      <c r="L777" s="410"/>
    </row>
    <row r="778">
      <c r="L778" s="410"/>
    </row>
    <row r="779">
      <c r="L779" s="410"/>
    </row>
    <row r="780">
      <c r="L780" s="410"/>
    </row>
    <row r="781">
      <c r="L781" s="410"/>
    </row>
    <row r="782">
      <c r="L782" s="410"/>
    </row>
    <row r="783">
      <c r="L783" s="410"/>
    </row>
    <row r="784">
      <c r="L784" s="410"/>
    </row>
    <row r="785">
      <c r="L785" s="410"/>
    </row>
    <row r="786">
      <c r="L786" s="410"/>
    </row>
    <row r="787">
      <c r="L787" s="410"/>
    </row>
    <row r="788">
      <c r="L788" s="410"/>
    </row>
    <row r="789">
      <c r="L789" s="410"/>
    </row>
    <row r="790">
      <c r="L790" s="410"/>
    </row>
    <row r="791">
      <c r="L791" s="410"/>
    </row>
    <row r="792">
      <c r="L792" s="410"/>
    </row>
    <row r="793">
      <c r="L793" s="410"/>
    </row>
    <row r="794">
      <c r="L794" s="410"/>
    </row>
    <row r="795">
      <c r="L795" s="410"/>
    </row>
    <row r="796">
      <c r="L796" s="410"/>
    </row>
    <row r="797">
      <c r="L797" s="410"/>
    </row>
    <row r="798">
      <c r="L798" s="410"/>
    </row>
    <row r="799">
      <c r="L799" s="410"/>
    </row>
    <row r="800">
      <c r="L800" s="410"/>
    </row>
    <row r="801">
      <c r="L801" s="410"/>
    </row>
    <row r="802">
      <c r="L802" s="410"/>
    </row>
    <row r="803">
      <c r="L803" s="410"/>
    </row>
    <row r="804">
      <c r="L804" s="410"/>
    </row>
    <row r="805">
      <c r="L805" s="410"/>
    </row>
    <row r="806">
      <c r="L806" s="410"/>
    </row>
    <row r="807">
      <c r="L807" s="410"/>
    </row>
    <row r="808">
      <c r="L808" s="410"/>
    </row>
    <row r="809">
      <c r="L809" s="410"/>
    </row>
    <row r="810">
      <c r="L810" s="410"/>
    </row>
    <row r="811">
      <c r="L811" s="410"/>
    </row>
    <row r="812">
      <c r="L812" s="410"/>
    </row>
    <row r="813">
      <c r="L813" s="410"/>
    </row>
    <row r="814">
      <c r="L814" s="410"/>
    </row>
    <row r="815">
      <c r="L815" s="410"/>
    </row>
    <row r="816">
      <c r="L816" s="410"/>
    </row>
    <row r="817">
      <c r="L817" s="410"/>
    </row>
    <row r="818">
      <c r="L818" s="410"/>
    </row>
    <row r="819">
      <c r="L819" s="410"/>
    </row>
    <row r="820">
      <c r="L820" s="410"/>
    </row>
    <row r="821">
      <c r="L821" s="410"/>
    </row>
    <row r="822">
      <c r="L822" s="410"/>
    </row>
    <row r="823">
      <c r="L823" s="410"/>
    </row>
    <row r="824">
      <c r="L824" s="410"/>
    </row>
    <row r="825">
      <c r="L825" s="410"/>
    </row>
    <row r="826">
      <c r="L826" s="410"/>
    </row>
    <row r="827">
      <c r="L827" s="410"/>
    </row>
    <row r="828">
      <c r="L828" s="410"/>
    </row>
    <row r="829">
      <c r="L829" s="410"/>
    </row>
    <row r="830">
      <c r="L830" s="410"/>
    </row>
    <row r="831">
      <c r="L831" s="410"/>
    </row>
    <row r="832">
      <c r="L832" s="410"/>
    </row>
    <row r="833">
      <c r="L833" s="410"/>
    </row>
    <row r="834">
      <c r="L834" s="410"/>
    </row>
    <row r="835">
      <c r="L835" s="410"/>
    </row>
    <row r="836">
      <c r="L836" s="410"/>
    </row>
    <row r="837">
      <c r="L837" s="410"/>
    </row>
    <row r="838">
      <c r="L838" s="410"/>
    </row>
    <row r="839">
      <c r="L839" s="410"/>
    </row>
    <row r="840">
      <c r="L840" s="410"/>
    </row>
    <row r="841">
      <c r="L841" s="410"/>
    </row>
    <row r="842">
      <c r="L842" s="410"/>
    </row>
    <row r="843">
      <c r="L843" s="410"/>
    </row>
    <row r="844">
      <c r="L844" s="410"/>
    </row>
    <row r="845">
      <c r="L845" s="410"/>
    </row>
    <row r="846">
      <c r="L846" s="410"/>
    </row>
    <row r="847">
      <c r="L847" s="410"/>
    </row>
    <row r="848">
      <c r="L848" s="410"/>
    </row>
    <row r="849">
      <c r="L849" s="410"/>
    </row>
    <row r="850">
      <c r="L850" s="410"/>
    </row>
    <row r="851">
      <c r="L851" s="410"/>
    </row>
    <row r="852">
      <c r="L852" s="410"/>
    </row>
    <row r="853">
      <c r="L853" s="410"/>
    </row>
    <row r="854">
      <c r="L854" s="410"/>
    </row>
    <row r="855">
      <c r="L855" s="410"/>
    </row>
    <row r="856">
      <c r="L856" s="410"/>
    </row>
    <row r="857">
      <c r="L857" s="410"/>
    </row>
    <row r="858">
      <c r="L858" s="410"/>
    </row>
    <row r="859">
      <c r="L859" s="410"/>
    </row>
    <row r="860">
      <c r="L860" s="410"/>
    </row>
    <row r="861">
      <c r="L861" s="410"/>
    </row>
    <row r="862">
      <c r="L862" s="410"/>
    </row>
    <row r="863">
      <c r="L863" s="410"/>
    </row>
    <row r="864">
      <c r="L864" s="410"/>
    </row>
    <row r="865">
      <c r="L865" s="410"/>
    </row>
    <row r="866">
      <c r="L866" s="410"/>
    </row>
    <row r="867">
      <c r="L867" s="410"/>
    </row>
    <row r="868">
      <c r="L868" s="410"/>
    </row>
    <row r="869">
      <c r="L869" s="410"/>
    </row>
    <row r="870">
      <c r="L870" s="410"/>
    </row>
    <row r="871">
      <c r="L871" s="410"/>
    </row>
    <row r="872">
      <c r="L872" s="410"/>
    </row>
    <row r="873">
      <c r="L873" s="410"/>
    </row>
    <row r="874">
      <c r="L874" s="410"/>
    </row>
    <row r="875">
      <c r="L875" s="410"/>
    </row>
    <row r="876">
      <c r="L876" s="410"/>
    </row>
    <row r="877">
      <c r="L877" s="410"/>
    </row>
    <row r="878">
      <c r="L878" s="410"/>
    </row>
    <row r="879">
      <c r="L879" s="410"/>
    </row>
    <row r="880">
      <c r="L880" s="410"/>
    </row>
    <row r="881">
      <c r="L881" s="410"/>
    </row>
    <row r="882">
      <c r="L882" s="410"/>
    </row>
    <row r="883">
      <c r="L883" s="410"/>
    </row>
    <row r="884">
      <c r="L884" s="410"/>
    </row>
    <row r="885">
      <c r="L885" s="410"/>
    </row>
    <row r="886">
      <c r="L886" s="410"/>
    </row>
    <row r="887">
      <c r="L887" s="410"/>
    </row>
    <row r="888">
      <c r="L888" s="410"/>
    </row>
    <row r="889">
      <c r="L889" s="410"/>
    </row>
    <row r="890">
      <c r="L890" s="410"/>
    </row>
    <row r="891">
      <c r="L891" s="410"/>
    </row>
    <row r="892">
      <c r="L892" s="410"/>
    </row>
    <row r="893">
      <c r="L893" s="410"/>
    </row>
    <row r="894">
      <c r="L894" s="410"/>
    </row>
    <row r="895">
      <c r="L895" s="410"/>
    </row>
    <row r="896">
      <c r="L896" s="410"/>
    </row>
    <row r="897">
      <c r="L897" s="410"/>
    </row>
    <row r="898">
      <c r="L898" s="410"/>
    </row>
    <row r="899">
      <c r="L899" s="410"/>
    </row>
    <row r="900">
      <c r="L900" s="410"/>
    </row>
    <row r="901">
      <c r="L901" s="410"/>
    </row>
    <row r="902">
      <c r="L902" s="410"/>
    </row>
    <row r="903">
      <c r="L903" s="410"/>
    </row>
    <row r="904">
      <c r="L904" s="410"/>
    </row>
    <row r="905">
      <c r="L905" s="410"/>
    </row>
    <row r="906">
      <c r="L906" s="410"/>
    </row>
    <row r="907">
      <c r="L907" s="410"/>
    </row>
    <row r="908">
      <c r="L908" s="410"/>
    </row>
    <row r="909">
      <c r="L909" s="410"/>
    </row>
    <row r="910">
      <c r="L910" s="410"/>
    </row>
    <row r="911">
      <c r="L911" s="410"/>
    </row>
    <row r="912">
      <c r="L912" s="410"/>
    </row>
    <row r="913">
      <c r="L913" s="410"/>
    </row>
    <row r="914">
      <c r="L914" s="410"/>
    </row>
    <row r="915">
      <c r="L915" s="410"/>
    </row>
    <row r="916">
      <c r="L916" s="410"/>
    </row>
    <row r="917">
      <c r="L917" s="410"/>
    </row>
    <row r="918">
      <c r="L918" s="410"/>
    </row>
    <row r="919">
      <c r="L919" s="410"/>
    </row>
    <row r="920">
      <c r="L920" s="410"/>
    </row>
    <row r="921">
      <c r="L921" s="410"/>
    </row>
    <row r="922">
      <c r="L922" s="410"/>
    </row>
    <row r="923">
      <c r="L923" s="410"/>
    </row>
    <row r="924">
      <c r="L924" s="410"/>
    </row>
    <row r="925">
      <c r="L925" s="410"/>
    </row>
    <row r="926">
      <c r="L926" s="410"/>
    </row>
    <row r="927">
      <c r="L927" s="410"/>
    </row>
    <row r="928">
      <c r="L928" s="410"/>
    </row>
    <row r="929">
      <c r="L929" s="410"/>
    </row>
    <row r="930">
      <c r="L930" s="410"/>
    </row>
    <row r="931">
      <c r="L931" s="410"/>
    </row>
    <row r="932">
      <c r="L932" s="410"/>
    </row>
    <row r="933">
      <c r="L933" s="410"/>
    </row>
    <row r="934">
      <c r="L934" s="410"/>
    </row>
    <row r="935">
      <c r="L935" s="410"/>
    </row>
    <row r="936">
      <c r="L936" s="410"/>
    </row>
    <row r="937">
      <c r="L937" s="410"/>
    </row>
    <row r="938">
      <c r="L938" s="410"/>
    </row>
    <row r="939">
      <c r="L939" s="410"/>
    </row>
    <row r="940">
      <c r="L940" s="410"/>
    </row>
    <row r="941">
      <c r="L941" s="410"/>
    </row>
    <row r="942">
      <c r="L942" s="410"/>
    </row>
    <row r="943">
      <c r="L943" s="410"/>
    </row>
    <row r="944">
      <c r="L944" s="410"/>
    </row>
    <row r="945">
      <c r="L945" s="410"/>
    </row>
    <row r="946">
      <c r="L946" s="410"/>
    </row>
    <row r="947">
      <c r="L947" s="410"/>
    </row>
    <row r="948">
      <c r="L948" s="410"/>
    </row>
    <row r="949">
      <c r="L949" s="410"/>
    </row>
    <row r="950">
      <c r="L950" s="410"/>
    </row>
    <row r="951">
      <c r="L951" s="410"/>
    </row>
    <row r="952">
      <c r="L952" s="410"/>
    </row>
    <row r="953">
      <c r="L953" s="410"/>
    </row>
    <row r="954">
      <c r="L954" s="410"/>
    </row>
    <row r="955">
      <c r="L955" s="410"/>
    </row>
    <row r="956">
      <c r="L956" s="410"/>
    </row>
    <row r="957">
      <c r="L957" s="410"/>
    </row>
    <row r="958">
      <c r="L958" s="410"/>
    </row>
    <row r="959">
      <c r="L959" s="410"/>
    </row>
    <row r="960">
      <c r="L960" s="410"/>
    </row>
    <row r="961">
      <c r="L961" s="410"/>
    </row>
    <row r="962">
      <c r="L962" s="410"/>
    </row>
    <row r="963">
      <c r="L963" s="410"/>
    </row>
    <row r="964">
      <c r="L964" s="410"/>
    </row>
    <row r="965">
      <c r="L965" s="410"/>
    </row>
    <row r="966">
      <c r="L966" s="410"/>
    </row>
    <row r="967">
      <c r="L967" s="410"/>
    </row>
    <row r="968">
      <c r="L968" s="410"/>
    </row>
    <row r="969">
      <c r="L969" s="410"/>
    </row>
    <row r="970">
      <c r="L970" s="410"/>
    </row>
    <row r="971">
      <c r="L971" s="410"/>
    </row>
    <row r="972">
      <c r="L972" s="410"/>
    </row>
    <row r="973">
      <c r="L973" s="410"/>
    </row>
    <row r="974">
      <c r="L974" s="410"/>
    </row>
    <row r="975">
      <c r="L975" s="410"/>
    </row>
    <row r="976">
      <c r="L976" s="410"/>
    </row>
    <row r="977">
      <c r="L977" s="410"/>
    </row>
    <row r="978">
      <c r="L978" s="410"/>
    </row>
    <row r="979">
      <c r="L979" s="410"/>
    </row>
    <row r="980">
      <c r="L980" s="410"/>
    </row>
    <row r="981">
      <c r="L981" s="410"/>
    </row>
    <row r="982">
      <c r="L982" s="410"/>
    </row>
    <row r="983">
      <c r="L983" s="410"/>
    </row>
    <row r="984">
      <c r="L984" s="410"/>
    </row>
    <row r="985">
      <c r="L985" s="410"/>
    </row>
    <row r="986">
      <c r="L986" s="410"/>
    </row>
    <row r="987">
      <c r="L987" s="410"/>
    </row>
    <row r="988">
      <c r="L988" s="410"/>
    </row>
    <row r="989">
      <c r="L989" s="410"/>
    </row>
    <row r="990">
      <c r="L990" s="410"/>
    </row>
    <row r="991">
      <c r="L991" s="410"/>
    </row>
    <row r="992">
      <c r="L992" s="410"/>
    </row>
    <row r="993">
      <c r="L993" s="410"/>
    </row>
    <row r="994">
      <c r="L994" s="410"/>
    </row>
    <row r="995">
      <c r="L995" s="410"/>
    </row>
    <row r="996">
      <c r="L996" s="410"/>
    </row>
    <row r="997">
      <c r="L997" s="410"/>
    </row>
    <row r="998">
      <c r="L998" s="410"/>
    </row>
    <row r="999">
      <c r="L999" s="410"/>
    </row>
    <row r="1000">
      <c r="L1000" s="410"/>
    </row>
    <row r="1001">
      <c r="L1001" s="410"/>
    </row>
    <row r="1002">
      <c r="L1002" s="410"/>
    </row>
    <row r="1003">
      <c r="L1003" s="410"/>
    </row>
    <row r="1004">
      <c r="L1004" s="410"/>
    </row>
    <row r="1005">
      <c r="L1005" s="410"/>
    </row>
    <row r="1006">
      <c r="L1006" s="410"/>
    </row>
    <row r="1007">
      <c r="L1007" s="410"/>
    </row>
    <row r="1008">
      <c r="L1008" s="410"/>
    </row>
    <row r="1009">
      <c r="L1009" s="410"/>
    </row>
    <row r="1010">
      <c r="L1010" s="410"/>
    </row>
    <row r="1011">
      <c r="L1011" s="410"/>
    </row>
    <row r="1012">
      <c r="L1012" s="410"/>
    </row>
    <row r="1013">
      <c r="L1013" s="410"/>
    </row>
    <row r="1014">
      <c r="L1014" s="410"/>
    </row>
    <row r="1015">
      <c r="L1015" s="410"/>
    </row>
    <row r="1016">
      <c r="L1016" s="410"/>
    </row>
    <row r="1017">
      <c r="L1017" s="410"/>
    </row>
    <row r="1018">
      <c r="L1018" s="410"/>
    </row>
    <row r="1019">
      <c r="L1019" s="410"/>
    </row>
    <row r="1020">
      <c r="L1020" s="410"/>
    </row>
    <row r="1021">
      <c r="L1021" s="410"/>
    </row>
    <row r="1022">
      <c r="L1022" s="410"/>
    </row>
  </sheetData>
  <autoFilter ref="$B$4:$N$35"/>
  <mergeCells count="43">
    <mergeCell ref="J7:J8"/>
    <mergeCell ref="K7:K8"/>
    <mergeCell ref="D3:N3"/>
    <mergeCell ref="B7:B8"/>
    <mergeCell ref="C7:C8"/>
    <mergeCell ref="D7:D8"/>
    <mergeCell ref="E7:E8"/>
    <mergeCell ref="F7:F8"/>
    <mergeCell ref="G7:G8"/>
    <mergeCell ref="L7:L8"/>
    <mergeCell ref="I16:I17"/>
    <mergeCell ref="J16:J17"/>
    <mergeCell ref="K16:K17"/>
    <mergeCell ref="L16:L17"/>
    <mergeCell ref="N16:N17"/>
    <mergeCell ref="D16:D17"/>
    <mergeCell ref="D19:D20"/>
    <mergeCell ref="A27:A28"/>
    <mergeCell ref="B27:B28"/>
    <mergeCell ref="D27:D28"/>
    <mergeCell ref="H19:H20"/>
    <mergeCell ref="I19:I20"/>
    <mergeCell ref="J19:J20"/>
    <mergeCell ref="K19:K20"/>
    <mergeCell ref="L19:L20"/>
    <mergeCell ref="N19:N20"/>
    <mergeCell ref="H7:H8"/>
    <mergeCell ref="I7:I8"/>
    <mergeCell ref="B16:B17"/>
    <mergeCell ref="F16:F17"/>
    <mergeCell ref="G16:G17"/>
    <mergeCell ref="H16:H17"/>
    <mergeCell ref="B19:B20"/>
    <mergeCell ref="K27:K28"/>
    <mergeCell ref="L27:L28"/>
    <mergeCell ref="M27:M28"/>
    <mergeCell ref="F19:F20"/>
    <mergeCell ref="G19:G20"/>
    <mergeCell ref="F27:F28"/>
    <mergeCell ref="G27:G28"/>
    <mergeCell ref="H27:H28"/>
    <mergeCell ref="I27:I28"/>
    <mergeCell ref="J27:J28"/>
  </mergeCells>
  <hyperlinks>
    <hyperlink r:id="rId1" ref="C2"/>
    <hyperlink r:id="rId2" ref="B3"/>
    <hyperlink display="Onboarding Schedule &amp; Info &gt; Resources Tab" location="Resources!A1" ref="M5"/>
    <hyperlink r:id="rId3" location="slide=id.gf32bf9945b_0_954" ref="M6"/>
    <hyperlink r:id="rId4" ref="M7"/>
    <hyperlink r:id="rId5" location="slide=id.gd0fbd4c1e7_3_214" ref="M8"/>
    <hyperlink r:id="rId6" location="gid=644099024" ref="M9"/>
    <hyperlink r:id="rId7" ref="M10"/>
    <hyperlink r:id="rId8" ref="M11"/>
    <hyperlink r:id="rId9" ref="N11"/>
    <hyperlink r:id="rId10" ref="M12"/>
    <hyperlink r:id="rId11" location="slide=id.g2a69ac5b03a_0_0" ref="M15"/>
    <hyperlink r:id="rId12" ref="N15"/>
    <hyperlink r:id="rId13" location="gid=2144868993" ref="M16"/>
    <hyperlink r:id="rId14" ref="M17"/>
    <hyperlink r:id="rId15" location="PlatformConversionPixelGeneration-AdOperations" ref="M19"/>
    <hyperlink r:id="rId16" location="slide=id.gd0b4d203b3_0_21" ref="M20"/>
    <hyperlink r:id="rId17" ref="M21"/>
    <hyperlink r:id="rId18" ref="N22"/>
    <hyperlink r:id="rId19" location="gid=1399114443" ref="M23"/>
    <hyperlink r:id="rId20" location="slide=id.g2f43aa87b32_0_16" ref="L25"/>
    <hyperlink r:id="rId21" ref="M25"/>
    <hyperlink r:id="rId22" ref="M26"/>
    <hyperlink r:id="rId23" ref="N26"/>
    <hyperlink r:id="rId24" ref="M27"/>
    <hyperlink r:id="rId25" ref="N27"/>
    <hyperlink r:id="rId26" ref="N28"/>
    <hyperlink r:id="rId27" ref="M29"/>
    <hyperlink r:id="rId28" ref="N29"/>
  </hyperlinks>
  <drawing r:id="rId2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9.63"/>
    <col customWidth="1" min="3" max="3" width="22.13"/>
    <col customWidth="1" min="4" max="4" width="59.75"/>
    <col customWidth="1" min="5" max="5" width="14.0"/>
    <col customWidth="1" min="6" max="6" width="29.75"/>
  </cols>
  <sheetData>
    <row r="1" ht="18.75" customHeight="1">
      <c r="A1" s="301"/>
      <c r="B1" s="301"/>
      <c r="C1" s="301"/>
      <c r="D1" s="301"/>
      <c r="E1" s="301"/>
      <c r="F1" s="302"/>
    </row>
    <row r="2">
      <c r="A2" s="301"/>
      <c r="B2" s="303" t="s">
        <v>589</v>
      </c>
      <c r="C2" s="160"/>
      <c r="D2" s="160"/>
      <c r="E2" s="161"/>
      <c r="F2" s="304"/>
    </row>
    <row r="3">
      <c r="A3" s="305"/>
      <c r="B3" s="306" t="s">
        <v>157</v>
      </c>
      <c r="C3" s="306" t="s">
        <v>158</v>
      </c>
      <c r="D3" s="306" t="s">
        <v>159</v>
      </c>
      <c r="E3" s="306" t="s">
        <v>515</v>
      </c>
      <c r="F3" s="307"/>
    </row>
    <row r="4">
      <c r="A4" s="222"/>
      <c r="B4" s="308" t="s">
        <v>590</v>
      </c>
      <c r="C4" s="309" t="s">
        <v>31</v>
      </c>
      <c r="D4" s="310" t="s">
        <v>517</v>
      </c>
      <c r="E4" s="311" t="s">
        <v>181</v>
      </c>
      <c r="F4" s="312"/>
    </row>
    <row r="5">
      <c r="A5" s="222"/>
      <c r="B5" s="313" t="s">
        <v>187</v>
      </c>
      <c r="C5" s="314" t="s">
        <v>31</v>
      </c>
      <c r="D5" s="315" t="s">
        <v>518</v>
      </c>
      <c r="E5" s="316" t="s">
        <v>181</v>
      </c>
      <c r="F5" s="317"/>
    </row>
    <row r="6">
      <c r="A6" s="222"/>
      <c r="B6" s="318" t="s">
        <v>519</v>
      </c>
      <c r="C6" s="319" t="s">
        <v>192</v>
      </c>
      <c r="D6" s="320" t="s">
        <v>190</v>
      </c>
      <c r="E6" s="321" t="s">
        <v>181</v>
      </c>
      <c r="F6" s="312"/>
    </row>
    <row r="7">
      <c r="A7" s="222"/>
      <c r="B7" s="313" t="s">
        <v>520</v>
      </c>
      <c r="C7" s="314" t="s">
        <v>192</v>
      </c>
      <c r="D7" s="315" t="s">
        <v>521</v>
      </c>
      <c r="E7" s="316" t="s">
        <v>181</v>
      </c>
      <c r="F7" s="317"/>
    </row>
    <row r="8">
      <c r="A8" s="222"/>
      <c r="B8" s="318" t="s">
        <v>522</v>
      </c>
      <c r="C8" s="319" t="s">
        <v>192</v>
      </c>
      <c r="D8" s="322" t="s">
        <v>523</v>
      </c>
      <c r="E8" s="321" t="s">
        <v>181</v>
      </c>
      <c r="F8" s="312"/>
    </row>
    <row r="9">
      <c r="A9" s="222"/>
      <c r="B9" s="313" t="s">
        <v>524</v>
      </c>
      <c r="C9" s="314" t="s">
        <v>197</v>
      </c>
      <c r="D9" s="323" t="s">
        <v>525</v>
      </c>
      <c r="E9" s="316" t="s">
        <v>181</v>
      </c>
      <c r="F9" s="317"/>
    </row>
    <row r="10">
      <c r="A10" s="222"/>
      <c r="B10" s="318" t="s">
        <v>199</v>
      </c>
      <c r="C10" s="319" t="s">
        <v>19</v>
      </c>
      <c r="D10" s="322" t="s">
        <v>526</v>
      </c>
      <c r="E10" s="321" t="s">
        <v>181</v>
      </c>
      <c r="F10" s="312"/>
    </row>
    <row r="11">
      <c r="A11" s="222"/>
      <c r="B11" s="313" t="s">
        <v>527</v>
      </c>
      <c r="C11" s="314" t="s">
        <v>192</v>
      </c>
      <c r="D11" s="316" t="s">
        <v>528</v>
      </c>
      <c r="E11" s="316" t="s">
        <v>181</v>
      </c>
      <c r="F11" s="317"/>
    </row>
    <row r="12">
      <c r="A12" s="222"/>
      <c r="B12" s="318" t="s">
        <v>203</v>
      </c>
      <c r="C12" s="319" t="s">
        <v>192</v>
      </c>
      <c r="D12" s="321" t="s">
        <v>529</v>
      </c>
      <c r="E12" s="321" t="s">
        <v>181</v>
      </c>
      <c r="F12" s="312"/>
    </row>
    <row r="13">
      <c r="A13" s="222"/>
      <c r="B13" s="313" t="s">
        <v>205</v>
      </c>
      <c r="C13" s="314" t="s">
        <v>192</v>
      </c>
      <c r="D13" s="323" t="s">
        <v>530</v>
      </c>
      <c r="E13" s="316" t="s">
        <v>181</v>
      </c>
      <c r="F13" s="317"/>
    </row>
    <row r="14">
      <c r="A14" s="222"/>
      <c r="B14" s="318" t="s">
        <v>207</v>
      </c>
      <c r="C14" s="319" t="s">
        <v>192</v>
      </c>
      <c r="D14" s="322" t="s">
        <v>531</v>
      </c>
      <c r="E14" s="321" t="s">
        <v>181</v>
      </c>
      <c r="F14" s="450" t="s">
        <v>591</v>
      </c>
    </row>
    <row r="15">
      <c r="A15" s="222"/>
      <c r="B15" s="313" t="s">
        <v>592</v>
      </c>
      <c r="C15" s="314" t="s">
        <v>192</v>
      </c>
      <c r="D15" s="315" t="s">
        <v>593</v>
      </c>
      <c r="E15" s="316" t="s">
        <v>181</v>
      </c>
      <c r="F15" s="317"/>
    </row>
    <row r="16">
      <c r="A16" s="222"/>
      <c r="B16" s="318" t="s">
        <v>211</v>
      </c>
      <c r="C16" s="319" t="s">
        <v>192</v>
      </c>
      <c r="D16" s="320" t="s">
        <v>594</v>
      </c>
      <c r="E16" s="321" t="s">
        <v>181</v>
      </c>
      <c r="F16" s="312"/>
    </row>
    <row r="17">
      <c r="A17" s="222"/>
      <c r="B17" s="313" t="s">
        <v>215</v>
      </c>
      <c r="C17" s="314" t="s">
        <v>183</v>
      </c>
      <c r="D17" s="315" t="s">
        <v>595</v>
      </c>
      <c r="E17" s="316" t="s">
        <v>181</v>
      </c>
      <c r="F17" s="317"/>
    </row>
    <row r="18">
      <c r="A18" s="222"/>
      <c r="B18" s="318" t="s">
        <v>78</v>
      </c>
      <c r="C18" s="319" t="s">
        <v>183</v>
      </c>
      <c r="D18" s="320" t="s">
        <v>596</v>
      </c>
      <c r="E18" s="321" t="s">
        <v>181</v>
      </c>
      <c r="F18" s="312"/>
    </row>
    <row r="19">
      <c r="A19" s="222"/>
      <c r="B19" s="313" t="s">
        <v>21</v>
      </c>
      <c r="C19" s="314" t="s">
        <v>19</v>
      </c>
      <c r="D19" s="323" t="s">
        <v>219</v>
      </c>
      <c r="E19" s="316" t="s">
        <v>181</v>
      </c>
      <c r="F19" s="317"/>
    </row>
    <row r="20">
      <c r="A20" s="222"/>
      <c r="B20" s="318" t="s">
        <v>220</v>
      </c>
      <c r="C20" s="319" t="s">
        <v>183</v>
      </c>
      <c r="D20" s="322" t="s">
        <v>536</v>
      </c>
      <c r="E20" s="321" t="s">
        <v>181</v>
      </c>
      <c r="F20" s="312"/>
    </row>
    <row r="21">
      <c r="A21" s="222"/>
      <c r="B21" s="325" t="s">
        <v>222</v>
      </c>
      <c r="C21" s="326" t="s">
        <v>183</v>
      </c>
      <c r="D21" s="327" t="s">
        <v>536</v>
      </c>
      <c r="E21" s="328" t="s">
        <v>181</v>
      </c>
      <c r="F21" s="317"/>
    </row>
    <row r="23">
      <c r="A23" s="222"/>
      <c r="B23" s="222" t="s">
        <v>256</v>
      </c>
      <c r="C23" s="222" t="s">
        <v>192</v>
      </c>
      <c r="D23" s="330" t="s">
        <v>597</v>
      </c>
    </row>
  </sheetData>
  <mergeCells count="1">
    <mergeCell ref="B2:E2"/>
  </mergeCells>
  <dataValidations>
    <dataValidation type="list" allowBlank="1" showErrorMessage="1" sqref="E4:E21">
      <formula1>"Backlog,In Progress,Completed"</formula1>
    </dataValidation>
  </dataValidations>
  <hyperlinks>
    <hyperlink r:id="rId1" ref="B4"/>
    <hyperlink r:id="rId2" location="slide=id.g27b04383fa0_0_373" ref="D4"/>
    <hyperlink r:id="rId3" ref="D5"/>
    <hyperlink r:id="rId4" ref="D6"/>
    <hyperlink r:id="rId5" ref="D7"/>
    <hyperlink r:id="rId6" ref="F14"/>
    <hyperlink r:id="rId7" ref="D15"/>
    <hyperlink r:id="rId8" ref="D16"/>
    <hyperlink r:id="rId9" ref="D17"/>
    <hyperlink r:id="rId10" ref="D18"/>
    <hyperlink r:id="rId11" ref="D23"/>
  </hyperlinks>
  <drawing r:id="rId1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65.88"/>
    <col customWidth="1" min="3" max="3" width="16.63"/>
    <col customWidth="1" min="4" max="4" width="68.25"/>
    <col customWidth="1" min="5" max="5" width="13.13"/>
    <col customWidth="1" min="6" max="6" width="3.63"/>
  </cols>
  <sheetData>
    <row r="1">
      <c r="A1" s="157"/>
      <c r="B1" s="157"/>
      <c r="C1" s="157"/>
      <c r="D1" s="157"/>
      <c r="E1" s="157"/>
      <c r="F1" s="158"/>
    </row>
    <row r="2">
      <c r="A2" s="157"/>
      <c r="B2" s="159" t="s">
        <v>598</v>
      </c>
      <c r="C2" s="160"/>
      <c r="D2" s="160"/>
      <c r="E2" s="161"/>
      <c r="F2" s="158"/>
    </row>
    <row r="3">
      <c r="A3" s="162"/>
      <c r="B3" s="163" t="s">
        <v>157</v>
      </c>
      <c r="C3" s="163" t="s">
        <v>158</v>
      </c>
      <c r="D3" s="163" t="s">
        <v>159</v>
      </c>
      <c r="E3" s="163" t="s">
        <v>515</v>
      </c>
      <c r="F3" s="158"/>
    </row>
    <row r="4">
      <c r="A4" s="164"/>
      <c r="B4" s="165" t="s">
        <v>599</v>
      </c>
      <c r="C4" s="166" t="s">
        <v>31</v>
      </c>
      <c r="D4" s="167" t="s">
        <v>163</v>
      </c>
      <c r="E4" s="169" t="s">
        <v>181</v>
      </c>
      <c r="F4" s="170"/>
    </row>
    <row r="5">
      <c r="A5" s="164"/>
      <c r="B5" s="171" t="s">
        <v>600</v>
      </c>
      <c r="C5" s="172" t="s">
        <v>31</v>
      </c>
      <c r="D5" s="173" t="s">
        <v>601</v>
      </c>
      <c r="E5" s="174" t="s">
        <v>181</v>
      </c>
      <c r="F5" s="170"/>
    </row>
    <row r="6">
      <c r="A6" s="164"/>
      <c r="B6" s="165" t="s">
        <v>602</v>
      </c>
      <c r="C6" s="175" t="s">
        <v>31</v>
      </c>
      <c r="D6" s="176" t="s">
        <v>603</v>
      </c>
      <c r="E6" s="177" t="s">
        <v>181</v>
      </c>
      <c r="F6" s="170"/>
    </row>
    <row r="7">
      <c r="A7" s="164"/>
      <c r="B7" s="171" t="s">
        <v>604</v>
      </c>
      <c r="C7" s="172" t="s">
        <v>31</v>
      </c>
      <c r="D7" s="173" t="s">
        <v>605</v>
      </c>
      <c r="E7" s="174" t="s">
        <v>181</v>
      </c>
      <c r="F7" s="170"/>
    </row>
    <row r="8">
      <c r="A8" s="164"/>
      <c r="B8" s="165" t="s">
        <v>606</v>
      </c>
      <c r="C8" s="175" t="s">
        <v>31</v>
      </c>
      <c r="D8" s="165" t="s">
        <v>607</v>
      </c>
      <c r="E8" s="177" t="s">
        <v>181</v>
      </c>
      <c r="F8" s="170"/>
    </row>
    <row r="9">
      <c r="A9" s="164"/>
      <c r="B9" s="171" t="s">
        <v>608</v>
      </c>
      <c r="C9" s="172" t="s">
        <v>31</v>
      </c>
      <c r="D9" s="173" t="s">
        <v>609</v>
      </c>
      <c r="E9" s="174" t="s">
        <v>164</v>
      </c>
      <c r="F9" s="170"/>
    </row>
    <row r="10">
      <c r="A10" s="164"/>
      <c r="B10" s="179" t="s">
        <v>610</v>
      </c>
      <c r="C10" s="180" t="s">
        <v>31</v>
      </c>
      <c r="D10" s="179" t="s">
        <v>611</v>
      </c>
      <c r="E10" s="182" t="s">
        <v>181</v>
      </c>
      <c r="F10" s="170"/>
    </row>
    <row r="11">
      <c r="A11" s="164"/>
      <c r="B11" s="451" t="s">
        <v>612</v>
      </c>
      <c r="C11" s="174" t="s">
        <v>31</v>
      </c>
      <c r="D11" s="184" t="s">
        <v>517</v>
      </c>
      <c r="E11" s="185" t="s">
        <v>164</v>
      </c>
      <c r="F11" s="170"/>
    </row>
    <row r="12">
      <c r="A12" s="164"/>
      <c r="B12" s="187" t="s">
        <v>613</v>
      </c>
      <c r="C12" s="177" t="s">
        <v>183</v>
      </c>
      <c r="D12" s="452" t="s">
        <v>614</v>
      </c>
      <c r="E12" s="168" t="s">
        <v>164</v>
      </c>
      <c r="F12" s="170"/>
    </row>
    <row r="13">
      <c r="A13" s="164"/>
      <c r="B13" s="189" t="s">
        <v>185</v>
      </c>
      <c r="C13" s="174" t="s">
        <v>183</v>
      </c>
      <c r="D13" s="190" t="s">
        <v>615</v>
      </c>
      <c r="E13" s="185" t="s">
        <v>181</v>
      </c>
      <c r="F13" s="170"/>
    </row>
    <row r="14">
      <c r="A14" s="164"/>
      <c r="B14" s="194" t="s">
        <v>187</v>
      </c>
      <c r="C14" s="177" t="s">
        <v>31</v>
      </c>
      <c r="D14" s="192" t="s">
        <v>518</v>
      </c>
      <c r="E14" s="177" t="s">
        <v>181</v>
      </c>
      <c r="F14" s="170"/>
    </row>
    <row r="15">
      <c r="A15" s="164"/>
      <c r="B15" s="195" t="s">
        <v>616</v>
      </c>
      <c r="C15" s="174" t="s">
        <v>192</v>
      </c>
      <c r="D15" s="184" t="s">
        <v>190</v>
      </c>
      <c r="E15" s="174" t="s">
        <v>181</v>
      </c>
      <c r="F15" s="170"/>
    </row>
    <row r="16">
      <c r="A16" s="164"/>
      <c r="B16" s="194" t="s">
        <v>520</v>
      </c>
      <c r="C16" s="177" t="s">
        <v>192</v>
      </c>
      <c r="D16" s="192" t="s">
        <v>521</v>
      </c>
      <c r="E16" s="177" t="s">
        <v>181</v>
      </c>
      <c r="F16" s="170"/>
    </row>
    <row r="17">
      <c r="A17" s="164"/>
      <c r="B17" s="195" t="s">
        <v>522</v>
      </c>
      <c r="C17" s="174" t="s">
        <v>31</v>
      </c>
      <c r="D17" s="190" t="s">
        <v>523</v>
      </c>
      <c r="E17" s="174" t="s">
        <v>181</v>
      </c>
      <c r="F17" s="170"/>
    </row>
    <row r="18">
      <c r="A18" s="164"/>
      <c r="B18" s="194" t="s">
        <v>524</v>
      </c>
      <c r="C18" s="177" t="s">
        <v>197</v>
      </c>
      <c r="D18" s="196" t="s">
        <v>525</v>
      </c>
      <c r="E18" s="177" t="s">
        <v>181</v>
      </c>
      <c r="F18" s="170"/>
    </row>
    <row r="19">
      <c r="A19" s="164"/>
      <c r="B19" s="195" t="s">
        <v>617</v>
      </c>
      <c r="C19" s="174" t="s">
        <v>192</v>
      </c>
      <c r="D19" s="184" t="s">
        <v>618</v>
      </c>
      <c r="E19" s="174" t="s">
        <v>181</v>
      </c>
      <c r="F19" s="170"/>
    </row>
    <row r="20">
      <c r="A20" s="164"/>
      <c r="B20" s="194" t="s">
        <v>199</v>
      </c>
      <c r="C20" s="177" t="s">
        <v>19</v>
      </c>
      <c r="D20" s="192" t="s">
        <v>619</v>
      </c>
      <c r="E20" s="177" t="s">
        <v>181</v>
      </c>
      <c r="F20" s="170"/>
    </row>
    <row r="21">
      <c r="A21" s="164"/>
      <c r="B21" s="195" t="s">
        <v>527</v>
      </c>
      <c r="C21" s="174" t="s">
        <v>192</v>
      </c>
      <c r="D21" s="185" t="s">
        <v>528</v>
      </c>
      <c r="E21" s="174" t="s">
        <v>181</v>
      </c>
      <c r="F21" s="170"/>
    </row>
    <row r="22">
      <c r="A22" s="164"/>
      <c r="B22" s="194" t="s">
        <v>203</v>
      </c>
      <c r="C22" s="177" t="s">
        <v>192</v>
      </c>
      <c r="D22" s="168" t="s">
        <v>529</v>
      </c>
      <c r="E22" s="177" t="s">
        <v>181</v>
      </c>
      <c r="F22" s="170"/>
    </row>
    <row r="23">
      <c r="A23" s="164"/>
      <c r="B23" s="195" t="s">
        <v>205</v>
      </c>
      <c r="C23" s="174" t="s">
        <v>192</v>
      </c>
      <c r="D23" s="190" t="s">
        <v>530</v>
      </c>
      <c r="E23" s="174" t="s">
        <v>181</v>
      </c>
      <c r="F23" s="170"/>
    </row>
    <row r="24">
      <c r="A24" s="164"/>
      <c r="B24" s="194" t="s">
        <v>207</v>
      </c>
      <c r="C24" s="177" t="s">
        <v>192</v>
      </c>
      <c r="D24" s="192" t="s">
        <v>620</v>
      </c>
      <c r="E24" s="177" t="s">
        <v>181</v>
      </c>
      <c r="F24" s="170"/>
    </row>
    <row r="25">
      <c r="A25" s="164"/>
      <c r="B25" s="195" t="s">
        <v>209</v>
      </c>
      <c r="C25" s="174" t="s">
        <v>192</v>
      </c>
      <c r="D25" s="184" t="s">
        <v>621</v>
      </c>
      <c r="E25" s="174" t="s">
        <v>181</v>
      </c>
      <c r="F25" s="170"/>
    </row>
    <row r="26">
      <c r="A26" s="164"/>
      <c r="B26" s="194" t="s">
        <v>211</v>
      </c>
      <c r="C26" s="177" t="s">
        <v>192</v>
      </c>
      <c r="D26" s="192" t="s">
        <v>622</v>
      </c>
      <c r="E26" s="177" t="s">
        <v>181</v>
      </c>
      <c r="F26" s="170"/>
    </row>
    <row r="27">
      <c r="A27" s="164"/>
      <c r="B27" s="195" t="s">
        <v>215</v>
      </c>
      <c r="C27" s="174" t="s">
        <v>183</v>
      </c>
      <c r="D27" s="184" t="s">
        <v>623</v>
      </c>
      <c r="E27" s="174" t="s">
        <v>181</v>
      </c>
      <c r="F27" s="170"/>
    </row>
    <row r="28">
      <c r="A28" s="164"/>
      <c r="B28" s="194" t="s">
        <v>78</v>
      </c>
      <c r="C28" s="177" t="s">
        <v>183</v>
      </c>
      <c r="D28" s="196" t="s">
        <v>624</v>
      </c>
      <c r="E28" s="177" t="s">
        <v>181</v>
      </c>
      <c r="F28" s="170"/>
    </row>
    <row r="29">
      <c r="A29" s="164"/>
      <c r="B29" s="195" t="s">
        <v>21</v>
      </c>
      <c r="C29" s="174" t="s">
        <v>19</v>
      </c>
      <c r="D29" s="190" t="s">
        <v>219</v>
      </c>
      <c r="E29" s="174" t="s">
        <v>181</v>
      </c>
      <c r="F29" s="170"/>
    </row>
    <row r="30">
      <c r="A30" s="170"/>
      <c r="B30" s="198" t="s">
        <v>220</v>
      </c>
      <c r="C30" s="199" t="s">
        <v>183</v>
      </c>
      <c r="D30" s="200" t="s">
        <v>625</v>
      </c>
      <c r="E30" s="199" t="s">
        <v>171</v>
      </c>
      <c r="F30" s="170"/>
    </row>
    <row r="31">
      <c r="A31" s="164"/>
      <c r="B31" s="203" t="s">
        <v>222</v>
      </c>
      <c r="C31" s="202" t="s">
        <v>183</v>
      </c>
      <c r="D31" s="204" t="s">
        <v>626</v>
      </c>
      <c r="E31" s="199" t="s">
        <v>171</v>
      </c>
      <c r="F31" s="170"/>
    </row>
    <row r="32">
      <c r="A32" s="170"/>
      <c r="B32" s="170"/>
      <c r="C32" s="170"/>
      <c r="D32" s="170"/>
      <c r="E32" s="170"/>
      <c r="F32" s="170"/>
    </row>
    <row r="33">
      <c r="A33" s="170"/>
      <c r="B33" s="220" t="s">
        <v>256</v>
      </c>
      <c r="C33" s="220" t="s">
        <v>192</v>
      </c>
      <c r="D33" s="221" t="s">
        <v>627</v>
      </c>
      <c r="E33" s="170"/>
      <c r="F33" s="170"/>
    </row>
    <row r="34">
      <c r="A34" s="170"/>
      <c r="B34" s="170"/>
      <c r="C34" s="170"/>
      <c r="D34" s="170"/>
      <c r="E34" s="170"/>
      <c r="F34" s="170"/>
    </row>
    <row r="35">
      <c r="A35" s="170"/>
      <c r="B35" s="170"/>
      <c r="C35" s="170"/>
      <c r="D35" s="170"/>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sheetData>
  <mergeCells count="1">
    <mergeCell ref="B2:E2"/>
  </mergeCells>
  <dataValidations>
    <dataValidation type="list" allowBlank="1" showErrorMessage="1" sqref="E4:E31">
      <formula1>"Backlog,In Progress,Completed"</formula1>
    </dataValidation>
  </dataValidations>
  <hyperlinks>
    <hyperlink r:id="rId1" ref="D5"/>
    <hyperlink r:id="rId2" ref="D6"/>
    <hyperlink r:id="rId3" ref="D7"/>
    <hyperlink r:id="rId4" ref="D9"/>
    <hyperlink r:id="rId5" ref="B11"/>
    <hyperlink r:id="rId6" location="slide=id.g27b04383fa0_0_373" ref="D11"/>
    <hyperlink r:id="rId7" ref="D14"/>
    <hyperlink r:id="rId8" ref="D15"/>
    <hyperlink r:id="rId9" ref="D16"/>
    <hyperlink r:id="rId10" ref="D19"/>
    <hyperlink r:id="rId11" location="/accounts/6344/campaigns?status=1&amp;archived=false&amp;ids=" ref="D20"/>
    <hyperlink r:id="rId12" ref="D24"/>
    <hyperlink r:id="rId13" ref="D25"/>
    <hyperlink r:id="rId14" ref="D26"/>
    <hyperlink r:id="rId15" ref="D27"/>
    <hyperlink r:id="rId16" ref="D30"/>
    <hyperlink r:id="rId17" ref="D31"/>
    <hyperlink r:id="rId18" ref="D33"/>
  </hyperlinks>
  <drawing r:id="rId1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24.38"/>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45590.0</v>
      </c>
      <c r="C2" s="2"/>
      <c r="D2" s="3"/>
      <c r="E2" s="4"/>
      <c r="F2" s="4"/>
      <c r="G2" s="4"/>
      <c r="H2" s="4"/>
      <c r="I2" s="4"/>
      <c r="J2" s="1"/>
      <c r="K2" s="1"/>
      <c r="L2" s="5"/>
      <c r="M2" s="1"/>
      <c r="N2" s="1"/>
      <c r="O2" s="1"/>
      <c r="P2" s="1"/>
    </row>
    <row r="3">
      <c r="A3" s="1"/>
      <c r="B3" s="7" t="s">
        <v>628</v>
      </c>
      <c r="C3" s="8"/>
      <c r="D3" s="9" t="s">
        <v>629</v>
      </c>
      <c r="E3" s="10"/>
      <c r="F3" s="10"/>
      <c r="G3" s="10"/>
      <c r="H3" s="10"/>
      <c r="I3" s="10"/>
      <c r="J3" s="10"/>
      <c r="K3" s="10"/>
      <c r="L3" s="10"/>
      <c r="M3" s="10"/>
      <c r="N3" s="10"/>
      <c r="O3" s="11"/>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7" t="s">
        <v>17</v>
      </c>
      <c r="C5" s="18" t="b">
        <v>1</v>
      </c>
      <c r="D5" s="19">
        <v>1.0</v>
      </c>
      <c r="E5" s="19" t="str">
        <f t="shared" ref="E5:E24" si="1">TEXT(F5, "dddd")</f>
        <v>Friday</v>
      </c>
      <c r="F5" s="20">
        <f>B2</f>
        <v>45590</v>
      </c>
      <c r="G5" s="19" t="s">
        <v>18</v>
      </c>
      <c r="H5" s="21">
        <v>0.5</v>
      </c>
      <c r="I5" s="21">
        <v>0.5208333333333334</v>
      </c>
      <c r="J5" s="19" t="s">
        <v>630</v>
      </c>
      <c r="K5" s="19" t="s">
        <v>94</v>
      </c>
      <c r="L5" s="23" t="s">
        <v>20</v>
      </c>
      <c r="M5" s="19" t="s">
        <v>21</v>
      </c>
      <c r="N5" s="19" t="s">
        <v>22</v>
      </c>
      <c r="O5" s="24" t="s">
        <v>23</v>
      </c>
      <c r="P5" s="16"/>
    </row>
    <row r="6" ht="52.5" customHeight="1">
      <c r="A6" s="16"/>
      <c r="B6" s="25" t="s">
        <v>24</v>
      </c>
      <c r="C6" s="26" t="b">
        <v>0</v>
      </c>
      <c r="D6" s="27">
        <v>1.0</v>
      </c>
      <c r="E6" s="27" t="str">
        <f t="shared" si="1"/>
        <v>Monday</v>
      </c>
      <c r="F6" s="28">
        <f>WORKDAY(B2, 1)</f>
        <v>45593</v>
      </c>
      <c r="G6" s="27" t="s">
        <v>18</v>
      </c>
      <c r="H6" s="29">
        <v>0.5</v>
      </c>
      <c r="I6" s="29">
        <v>0.5208333333333334</v>
      </c>
      <c r="J6" s="27" t="s">
        <v>94</v>
      </c>
      <c r="K6" s="27" t="s">
        <v>110</v>
      </c>
      <c r="L6" s="31" t="s">
        <v>25</v>
      </c>
      <c r="M6" s="32" t="s">
        <v>26</v>
      </c>
      <c r="N6" s="27" t="s">
        <v>22</v>
      </c>
      <c r="O6" s="33" t="s">
        <v>23</v>
      </c>
      <c r="P6" s="16"/>
    </row>
    <row r="7" ht="52.5" customHeight="1">
      <c r="A7" s="16"/>
      <c r="B7" s="34" t="s">
        <v>27</v>
      </c>
      <c r="C7" s="18" t="b">
        <v>1</v>
      </c>
      <c r="D7" s="35">
        <v>1.0</v>
      </c>
      <c r="E7" s="35" t="str">
        <f t="shared" si="1"/>
        <v>Tuesday</v>
      </c>
      <c r="F7" s="36">
        <f>WORKDAY(B2, 2)</f>
        <v>45594</v>
      </c>
      <c r="G7" s="35" t="s">
        <v>18</v>
      </c>
      <c r="H7" s="37">
        <v>0.5</v>
      </c>
      <c r="I7" s="37">
        <v>0.5208333333333334</v>
      </c>
      <c r="J7" s="35" t="s">
        <v>545</v>
      </c>
      <c r="K7" s="35" t="s">
        <v>94</v>
      </c>
      <c r="L7" s="39" t="s">
        <v>28</v>
      </c>
      <c r="M7" s="40" t="s">
        <v>631</v>
      </c>
      <c r="N7" s="35" t="s">
        <v>22</v>
      </c>
      <c r="O7" s="41" t="s">
        <v>23</v>
      </c>
      <c r="P7" s="16"/>
    </row>
    <row r="8" ht="52.5" customHeight="1">
      <c r="A8" s="16"/>
      <c r="B8" s="25" t="s">
        <v>30</v>
      </c>
      <c r="C8" s="26" t="b">
        <v>0</v>
      </c>
      <c r="D8" s="27">
        <v>2.0</v>
      </c>
      <c r="E8" s="27" t="str">
        <f t="shared" si="1"/>
        <v>Friday</v>
      </c>
      <c r="F8" s="28">
        <f>WORKDAY(B2, 5)</f>
        <v>45597</v>
      </c>
      <c r="G8" s="27" t="s">
        <v>18</v>
      </c>
      <c r="H8" s="29">
        <v>0.5</v>
      </c>
      <c r="I8" s="29">
        <v>0.5208333333333334</v>
      </c>
      <c r="J8" s="27" t="s">
        <v>94</v>
      </c>
      <c r="K8" s="27" t="s">
        <v>632</v>
      </c>
      <c r="L8" s="31" t="s">
        <v>32</v>
      </c>
      <c r="M8" s="32" t="s">
        <v>33</v>
      </c>
      <c r="N8" s="27" t="s">
        <v>22</v>
      </c>
      <c r="O8" s="33" t="s">
        <v>23</v>
      </c>
      <c r="P8" s="16"/>
    </row>
    <row r="9" ht="52.5" customHeight="1">
      <c r="A9" s="16"/>
      <c r="B9" s="34" t="s">
        <v>34</v>
      </c>
      <c r="C9" s="18" t="b">
        <v>1</v>
      </c>
      <c r="D9" s="35">
        <v>2.0</v>
      </c>
      <c r="E9" s="35" t="str">
        <f t="shared" si="1"/>
        <v>Monday</v>
      </c>
      <c r="F9" s="36">
        <f>WORKDAY(B2, 6)</f>
        <v>45600</v>
      </c>
      <c r="G9" s="35" t="s">
        <v>18</v>
      </c>
      <c r="H9" s="37">
        <v>0.5</v>
      </c>
      <c r="I9" s="37">
        <v>0.5208333333333334</v>
      </c>
      <c r="J9" s="35" t="s">
        <v>114</v>
      </c>
      <c r="K9" s="35" t="s">
        <v>117</v>
      </c>
      <c r="L9" s="42" t="s">
        <v>633</v>
      </c>
      <c r="M9" s="40" t="s">
        <v>36</v>
      </c>
      <c r="N9" s="35" t="s">
        <v>22</v>
      </c>
      <c r="O9" s="41" t="s">
        <v>37</v>
      </c>
      <c r="P9" s="16"/>
    </row>
    <row r="10" ht="52.5" customHeight="1">
      <c r="A10" s="16"/>
      <c r="B10" s="25" t="s">
        <v>38</v>
      </c>
      <c r="C10" s="26" t="b">
        <v>1</v>
      </c>
      <c r="D10" s="27">
        <v>2.0</v>
      </c>
      <c r="E10" s="27" t="str">
        <f t="shared" si="1"/>
        <v>Monday</v>
      </c>
      <c r="F10" s="28">
        <f>WORKDAY(B2, 6)</f>
        <v>45600</v>
      </c>
      <c r="G10" s="27" t="s">
        <v>39</v>
      </c>
      <c r="H10" s="29">
        <v>0.5208333333333334</v>
      </c>
      <c r="I10" s="29">
        <v>0.5625</v>
      </c>
      <c r="J10" s="27" t="s">
        <v>117</v>
      </c>
      <c r="K10" s="27" t="s">
        <v>634</v>
      </c>
      <c r="L10" s="31" t="s">
        <v>40</v>
      </c>
      <c r="M10" s="32" t="s">
        <v>41</v>
      </c>
      <c r="N10" s="32" t="s">
        <v>42</v>
      </c>
      <c r="O10" s="43" t="s">
        <v>37</v>
      </c>
      <c r="P10" s="16"/>
    </row>
    <row r="11" ht="52.5" customHeight="1">
      <c r="A11" s="16"/>
      <c r="B11" s="34" t="s">
        <v>43</v>
      </c>
      <c r="C11" s="18" t="b">
        <v>1</v>
      </c>
      <c r="D11" s="35">
        <v>2.0</v>
      </c>
      <c r="E11" s="35" t="str">
        <f t="shared" si="1"/>
        <v>Tuesday</v>
      </c>
      <c r="F11" s="36">
        <f>WORKDAY(B2, 7)</f>
        <v>45601</v>
      </c>
      <c r="G11" s="35" t="s">
        <v>18</v>
      </c>
      <c r="H11" s="37">
        <v>0.5</v>
      </c>
      <c r="I11" s="37">
        <v>0.5208333333333334</v>
      </c>
      <c r="J11" s="35" t="s">
        <v>118</v>
      </c>
      <c r="K11" s="35" t="s">
        <v>123</v>
      </c>
      <c r="L11" s="39" t="s">
        <v>44</v>
      </c>
      <c r="M11" s="40" t="s">
        <v>45</v>
      </c>
      <c r="N11" s="35" t="s">
        <v>22</v>
      </c>
      <c r="O11" s="41" t="s">
        <v>23</v>
      </c>
      <c r="P11" s="16"/>
    </row>
    <row r="12" ht="52.5" customHeight="1">
      <c r="A12" s="16"/>
      <c r="B12" s="25" t="s">
        <v>46</v>
      </c>
      <c r="C12" s="26" t="b">
        <v>1</v>
      </c>
      <c r="D12" s="27">
        <v>2.0</v>
      </c>
      <c r="E12" s="27" t="str">
        <f t="shared" si="1"/>
        <v>Tuesday</v>
      </c>
      <c r="F12" s="28">
        <f>WORKDAY(B2, 7)</f>
        <v>45601</v>
      </c>
      <c r="G12" s="27" t="s">
        <v>18</v>
      </c>
      <c r="H12" s="29">
        <v>0.5208333333333334</v>
      </c>
      <c r="I12" s="29">
        <v>0.5416666666666666</v>
      </c>
      <c r="J12" s="27" t="s">
        <v>119</v>
      </c>
      <c r="K12" s="30"/>
      <c r="L12" s="31" t="s">
        <v>47</v>
      </c>
      <c r="M12" s="27" t="s">
        <v>22</v>
      </c>
      <c r="N12" s="27" t="s">
        <v>22</v>
      </c>
      <c r="O12" s="33" t="s">
        <v>23</v>
      </c>
      <c r="P12" s="16"/>
    </row>
    <row r="13" ht="52.5" customHeight="1">
      <c r="A13" s="16"/>
      <c r="B13" s="34" t="s">
        <v>48</v>
      </c>
      <c r="C13" s="18" t="b">
        <v>1</v>
      </c>
      <c r="D13" s="35">
        <v>3.0</v>
      </c>
      <c r="E13" s="35" t="str">
        <f t="shared" si="1"/>
        <v>Monday</v>
      </c>
      <c r="F13" s="36">
        <f>WORKDAY(B2, 11)</f>
        <v>45607</v>
      </c>
      <c r="G13" s="35" t="s">
        <v>39</v>
      </c>
      <c r="H13" s="37">
        <v>0.5208333333333334</v>
      </c>
      <c r="I13" s="37">
        <v>0.5625</v>
      </c>
      <c r="J13" s="35" t="s">
        <v>117</v>
      </c>
      <c r="K13" s="35" t="s">
        <v>634</v>
      </c>
      <c r="L13" s="39" t="s">
        <v>49</v>
      </c>
      <c r="M13" s="35" t="s">
        <v>22</v>
      </c>
      <c r="N13" s="35" t="s">
        <v>22</v>
      </c>
      <c r="O13" s="41" t="s">
        <v>50</v>
      </c>
      <c r="P13" s="16"/>
    </row>
    <row r="14" ht="52.5" customHeight="1">
      <c r="A14" s="16"/>
      <c r="B14" s="25" t="s">
        <v>51</v>
      </c>
      <c r="C14" s="26" t="b">
        <v>1</v>
      </c>
      <c r="D14" s="27">
        <v>3.0</v>
      </c>
      <c r="E14" s="27" t="str">
        <f t="shared" si="1"/>
        <v>Tuesday</v>
      </c>
      <c r="F14" s="28">
        <f>WORKDAY(B2, 12)</f>
        <v>45608</v>
      </c>
      <c r="G14" s="27" t="s">
        <v>39</v>
      </c>
      <c r="H14" s="29">
        <v>0.5208333333333334</v>
      </c>
      <c r="I14" s="29">
        <v>0.5625</v>
      </c>
      <c r="J14" s="27" t="s">
        <v>117</v>
      </c>
      <c r="K14" s="27" t="s">
        <v>634</v>
      </c>
      <c r="L14" s="31" t="s">
        <v>52</v>
      </c>
      <c r="M14" s="32" t="s">
        <v>53</v>
      </c>
      <c r="N14" s="32" t="s">
        <v>42</v>
      </c>
      <c r="O14" s="43" t="s">
        <v>50</v>
      </c>
      <c r="P14" s="16"/>
    </row>
    <row r="15" ht="52.5" hidden="1" customHeight="1">
      <c r="A15" s="453"/>
      <c r="B15" s="454" t="s">
        <v>54</v>
      </c>
      <c r="C15" s="455" t="b">
        <v>0</v>
      </c>
      <c r="D15" s="456">
        <v>3.0</v>
      </c>
      <c r="E15" s="456" t="str">
        <f t="shared" si="1"/>
        <v>Tuesday</v>
      </c>
      <c r="F15" s="457">
        <f>WORKDAY(B2, 12)</f>
        <v>45608</v>
      </c>
      <c r="G15" s="456" t="s">
        <v>18</v>
      </c>
      <c r="H15" s="458">
        <v>0.5416666666666666</v>
      </c>
      <c r="I15" s="458">
        <v>0.5625</v>
      </c>
      <c r="J15" s="459"/>
      <c r="K15" s="459"/>
      <c r="L15" s="460" t="s">
        <v>55</v>
      </c>
      <c r="M15" s="461" t="s">
        <v>635</v>
      </c>
      <c r="N15" s="456" t="s">
        <v>57</v>
      </c>
      <c r="O15" s="462" t="s">
        <v>50</v>
      </c>
      <c r="P15" s="453"/>
    </row>
    <row r="16" ht="52.5" customHeight="1">
      <c r="A16" s="16"/>
      <c r="B16" s="25" t="s">
        <v>636</v>
      </c>
      <c r="C16" s="26" t="b">
        <v>1</v>
      </c>
      <c r="D16" s="27">
        <v>3.0</v>
      </c>
      <c r="E16" s="27" t="str">
        <f t="shared" si="1"/>
        <v>Wednesday</v>
      </c>
      <c r="F16" s="28">
        <f>WORKDAY(B2, 13)</f>
        <v>45609</v>
      </c>
      <c r="G16" s="27" t="s">
        <v>18</v>
      </c>
      <c r="H16" s="29">
        <v>0.5</v>
      </c>
      <c r="I16" s="29">
        <v>0.5208333333333334</v>
      </c>
      <c r="J16" s="150" t="s">
        <v>630</v>
      </c>
      <c r="K16" s="27" t="s">
        <v>94</v>
      </c>
      <c r="L16" s="31" t="s">
        <v>59</v>
      </c>
      <c r="M16" s="44" t="s">
        <v>22</v>
      </c>
      <c r="N16" s="27" t="s">
        <v>22</v>
      </c>
      <c r="O16" s="33" t="s">
        <v>23</v>
      </c>
      <c r="P16" s="16"/>
    </row>
    <row r="17" ht="52.5" customHeight="1">
      <c r="A17" s="16"/>
      <c r="B17" s="34" t="s">
        <v>60</v>
      </c>
      <c r="C17" s="18" t="b">
        <v>1</v>
      </c>
      <c r="D17" s="35">
        <v>4.0</v>
      </c>
      <c r="E17" s="35" t="str">
        <f t="shared" si="1"/>
        <v>Friday</v>
      </c>
      <c r="F17" s="36">
        <f>WORKDAY(B2, 15)</f>
        <v>45611</v>
      </c>
      <c r="G17" s="35" t="s">
        <v>18</v>
      </c>
      <c r="H17" s="37">
        <v>0.5</v>
      </c>
      <c r="I17" s="37">
        <v>0.5208333333333334</v>
      </c>
      <c r="J17" s="35" t="s">
        <v>114</v>
      </c>
      <c r="K17" s="35" t="s">
        <v>121</v>
      </c>
      <c r="L17" s="39" t="s">
        <v>61</v>
      </c>
      <c r="M17" s="40" t="s">
        <v>637</v>
      </c>
      <c r="N17" s="35" t="s">
        <v>22</v>
      </c>
      <c r="O17" s="41" t="s">
        <v>37</v>
      </c>
      <c r="P17" s="16"/>
    </row>
    <row r="18" ht="52.5" customHeight="1">
      <c r="A18" s="16"/>
      <c r="B18" s="25" t="s">
        <v>63</v>
      </c>
      <c r="C18" s="26" t="b">
        <v>1</v>
      </c>
      <c r="D18" s="27">
        <v>4.0</v>
      </c>
      <c r="E18" s="27" t="str">
        <f t="shared" si="1"/>
        <v>Wednesday</v>
      </c>
      <c r="F18" s="28">
        <f>WORKDAY(B2, 18)</f>
        <v>45616</v>
      </c>
      <c r="G18" s="27" t="s">
        <v>18</v>
      </c>
      <c r="H18" s="29">
        <v>0.6041666666666666</v>
      </c>
      <c r="I18" s="29">
        <v>0.625</v>
      </c>
      <c r="J18" s="27" t="s">
        <v>126</v>
      </c>
      <c r="K18" s="27" t="s">
        <v>638</v>
      </c>
      <c r="L18" s="31" t="s">
        <v>64</v>
      </c>
      <c r="M18" s="45" t="s">
        <v>65</v>
      </c>
      <c r="N18" s="27" t="s">
        <v>22</v>
      </c>
      <c r="O18" s="33" t="s">
        <v>66</v>
      </c>
      <c r="P18" s="16"/>
    </row>
    <row r="19" ht="52.5" customHeight="1">
      <c r="A19" s="16"/>
      <c r="B19" s="34" t="s">
        <v>67</v>
      </c>
      <c r="C19" s="18" t="b">
        <v>1</v>
      </c>
      <c r="D19" s="35">
        <v>4.0</v>
      </c>
      <c r="E19" s="35" t="str">
        <f t="shared" si="1"/>
        <v>Wednesday</v>
      </c>
      <c r="F19" s="36">
        <f>WORKDAY(B2, 18)</f>
        <v>45616</v>
      </c>
      <c r="G19" s="35" t="s">
        <v>68</v>
      </c>
      <c r="H19" s="37">
        <v>0.625</v>
      </c>
      <c r="I19" s="37">
        <v>0.6354166666666666</v>
      </c>
      <c r="J19" s="35" t="s">
        <v>126</v>
      </c>
      <c r="K19" s="35" t="s">
        <v>639</v>
      </c>
      <c r="L19" s="39" t="s">
        <v>69</v>
      </c>
      <c r="M19" s="46"/>
      <c r="N19" s="40" t="s">
        <v>640</v>
      </c>
      <c r="O19" s="47" t="s">
        <v>66</v>
      </c>
      <c r="P19" s="16"/>
    </row>
    <row r="20" ht="52.5" customHeight="1">
      <c r="A20" s="16"/>
      <c r="B20" s="25" t="s">
        <v>71</v>
      </c>
      <c r="C20" s="26" t="b">
        <v>0</v>
      </c>
      <c r="D20" s="27">
        <v>4.0</v>
      </c>
      <c r="E20" s="27" t="str">
        <f t="shared" si="1"/>
        <v>Tuesday</v>
      </c>
      <c r="F20" s="28">
        <f>WORKDAY(B2, 17)</f>
        <v>45615</v>
      </c>
      <c r="G20" s="27" t="s">
        <v>18</v>
      </c>
      <c r="H20" s="29">
        <v>0.5</v>
      </c>
      <c r="I20" s="29">
        <v>0.5208333333333334</v>
      </c>
      <c r="J20" s="27" t="s">
        <v>94</v>
      </c>
      <c r="K20" s="27" t="s">
        <v>641</v>
      </c>
      <c r="L20" s="31" t="s">
        <v>72</v>
      </c>
      <c r="M20" s="45" t="s">
        <v>73</v>
      </c>
      <c r="N20" s="44" t="s">
        <v>22</v>
      </c>
      <c r="O20" s="43" t="s">
        <v>23</v>
      </c>
      <c r="P20" s="16"/>
    </row>
    <row r="21" ht="52.5" customHeight="1">
      <c r="A21" s="16"/>
      <c r="B21" s="34" t="s">
        <v>74</v>
      </c>
      <c r="C21" s="18" t="b">
        <v>1</v>
      </c>
      <c r="D21" s="35">
        <v>4.0</v>
      </c>
      <c r="E21" s="35" t="str">
        <f t="shared" si="1"/>
        <v>Wednesday</v>
      </c>
      <c r="F21" s="36">
        <f>WORKDAY(B2, 18)</f>
        <v>45616</v>
      </c>
      <c r="G21" s="35" t="s">
        <v>39</v>
      </c>
      <c r="H21" s="37">
        <v>0.5</v>
      </c>
      <c r="I21" s="37">
        <v>0.5416666666666666</v>
      </c>
      <c r="J21" s="35" t="s">
        <v>117</v>
      </c>
      <c r="K21" s="35" t="s">
        <v>115</v>
      </c>
      <c r="L21" s="35" t="s">
        <v>75</v>
      </c>
      <c r="M21" s="46" t="s">
        <v>22</v>
      </c>
      <c r="N21" s="46" t="s">
        <v>22</v>
      </c>
      <c r="O21" s="47" t="s">
        <v>50</v>
      </c>
      <c r="P21" s="16"/>
    </row>
    <row r="22" ht="52.5" customHeight="1">
      <c r="A22" s="16"/>
      <c r="B22" s="25" t="s">
        <v>76</v>
      </c>
      <c r="C22" s="26" t="b">
        <v>1</v>
      </c>
      <c r="D22" s="27">
        <v>5.0</v>
      </c>
      <c r="E22" s="27" t="str">
        <f t="shared" si="1"/>
        <v>Friday</v>
      </c>
      <c r="F22" s="28">
        <f>WORKDAY(B2, 20)</f>
        <v>45618</v>
      </c>
      <c r="G22" s="27" t="s">
        <v>18</v>
      </c>
      <c r="H22" s="29">
        <v>0.5</v>
      </c>
      <c r="I22" s="29">
        <v>0.5208333333333334</v>
      </c>
      <c r="J22" s="27" t="s">
        <v>545</v>
      </c>
      <c r="K22" s="27" t="s">
        <v>642</v>
      </c>
      <c r="L22" s="48" t="s">
        <v>643</v>
      </c>
      <c r="M22" s="32" t="s">
        <v>644</v>
      </c>
      <c r="N22" s="44" t="s">
        <v>22</v>
      </c>
      <c r="O22" s="43" t="s">
        <v>37</v>
      </c>
      <c r="P22" s="16"/>
    </row>
    <row r="23" ht="52.5" customHeight="1">
      <c r="A23" s="16"/>
      <c r="B23" s="34" t="s">
        <v>79</v>
      </c>
      <c r="C23" s="18" t="b">
        <v>0</v>
      </c>
      <c r="D23" s="35">
        <v>5.0</v>
      </c>
      <c r="E23" s="35" t="str">
        <f t="shared" si="1"/>
        <v>Monday</v>
      </c>
      <c r="F23" s="36">
        <f>WORKDAY(B2, 21)</f>
        <v>45621</v>
      </c>
      <c r="G23" s="35" t="s">
        <v>39</v>
      </c>
      <c r="H23" s="37">
        <v>0.5</v>
      </c>
      <c r="I23" s="37">
        <v>0.5416666666666666</v>
      </c>
      <c r="J23" s="35" t="s">
        <v>94</v>
      </c>
      <c r="K23" s="35" t="s">
        <v>645</v>
      </c>
      <c r="L23" s="39" t="s">
        <v>80</v>
      </c>
      <c r="M23" s="40" t="s">
        <v>81</v>
      </c>
      <c r="N23" s="40" t="s">
        <v>646</v>
      </c>
      <c r="O23" s="47" t="s">
        <v>37</v>
      </c>
      <c r="P23" s="16"/>
    </row>
    <row r="24" ht="52.5" customHeight="1">
      <c r="A24" s="16"/>
      <c r="B24" s="25" t="s">
        <v>83</v>
      </c>
      <c r="C24" s="26" t="b">
        <v>1</v>
      </c>
      <c r="D24" s="27">
        <v>5.0</v>
      </c>
      <c r="E24" s="27" t="str">
        <f t="shared" si="1"/>
        <v>Tuesday</v>
      </c>
      <c r="F24" s="28">
        <f>WORKDAY(B2, 22)</f>
        <v>45622</v>
      </c>
      <c r="G24" s="27" t="s">
        <v>39</v>
      </c>
      <c r="H24" s="29">
        <v>0.5</v>
      </c>
      <c r="I24" s="29">
        <v>0.5416666666666666</v>
      </c>
      <c r="J24" s="27" t="s">
        <v>112</v>
      </c>
      <c r="K24" s="27" t="s">
        <v>583</v>
      </c>
      <c r="L24" s="31" t="s">
        <v>84</v>
      </c>
      <c r="M24" s="32" t="s">
        <v>85</v>
      </c>
      <c r="N24" s="32" t="s">
        <v>647</v>
      </c>
      <c r="O24" s="43" t="s">
        <v>37</v>
      </c>
      <c r="P24" s="16"/>
    </row>
    <row r="25" ht="52.5" customHeight="1">
      <c r="A25" s="16"/>
      <c r="B25" s="34" t="s">
        <v>87</v>
      </c>
      <c r="C25" s="18" t="b">
        <v>1</v>
      </c>
      <c r="D25" s="35">
        <v>5.0</v>
      </c>
      <c r="E25" s="35" t="s">
        <v>548</v>
      </c>
      <c r="F25" s="36">
        <f>WORKDAY(B2, 23)</f>
        <v>45623</v>
      </c>
      <c r="G25" s="35" t="s">
        <v>39</v>
      </c>
      <c r="H25" s="37">
        <v>0.5833333333333334</v>
      </c>
      <c r="I25" s="37">
        <v>0.625</v>
      </c>
      <c r="J25" s="35" t="s">
        <v>107</v>
      </c>
      <c r="K25" s="35" t="s">
        <v>110</v>
      </c>
      <c r="L25" s="39" t="s">
        <v>88</v>
      </c>
      <c r="M25" s="40" t="s">
        <v>89</v>
      </c>
      <c r="N25" s="40" t="s">
        <v>42</v>
      </c>
      <c r="O25" s="47" t="s">
        <v>37</v>
      </c>
      <c r="P25" s="16"/>
    </row>
    <row r="26" ht="52.5" customHeight="1">
      <c r="A26" s="16"/>
      <c r="B26" s="25" t="s">
        <v>90</v>
      </c>
      <c r="C26" s="26" t="b">
        <v>1</v>
      </c>
      <c r="D26" s="27">
        <v>5.0</v>
      </c>
      <c r="E26" s="27" t="str">
        <f t="shared" ref="E26:E32" si="2">TEXT(F26, "dddd")</f>
        <v>Wednesday</v>
      </c>
      <c r="F26" s="28">
        <f>WORKDAY(B2, 28)</f>
        <v>45630</v>
      </c>
      <c r="G26" s="27" t="s">
        <v>18</v>
      </c>
      <c r="H26" s="49">
        <v>0.625</v>
      </c>
      <c r="I26" s="29">
        <v>0.6458333333333334</v>
      </c>
      <c r="J26" s="27" t="s">
        <v>126</v>
      </c>
      <c r="K26" s="27" t="s">
        <v>639</v>
      </c>
      <c r="L26" s="31" t="s">
        <v>91</v>
      </c>
      <c r="M26" s="27" t="s">
        <v>22</v>
      </c>
      <c r="N26" s="27" t="s">
        <v>22</v>
      </c>
      <c r="O26" s="33" t="s">
        <v>37</v>
      </c>
      <c r="P26" s="16"/>
    </row>
    <row r="27" ht="52.5" hidden="1" customHeight="1">
      <c r="A27" s="16"/>
      <c r="B27" s="50" t="s">
        <v>92</v>
      </c>
      <c r="C27" s="51" t="b">
        <v>0</v>
      </c>
      <c r="D27" s="52">
        <v>5.0</v>
      </c>
      <c r="E27" s="52" t="str">
        <f t="shared" si="2"/>
        <v>TBD</v>
      </c>
      <c r="F27" s="53" t="s">
        <v>93</v>
      </c>
      <c r="G27" s="52" t="s">
        <v>18</v>
      </c>
      <c r="H27" s="54" t="s">
        <v>93</v>
      </c>
      <c r="I27" s="55" t="s">
        <v>93</v>
      </c>
      <c r="J27" s="56" t="s">
        <v>94</v>
      </c>
      <c r="K27" s="56" t="s">
        <v>95</v>
      </c>
      <c r="L27" s="57" t="s">
        <v>96</v>
      </c>
      <c r="M27" s="58" t="s">
        <v>97</v>
      </c>
      <c r="N27" s="59"/>
      <c r="O27" s="60" t="s">
        <v>98</v>
      </c>
      <c r="P27" s="16"/>
    </row>
    <row r="28" ht="52.5" customHeight="1">
      <c r="A28" s="16"/>
      <c r="B28" s="25" t="s">
        <v>648</v>
      </c>
      <c r="C28" s="26" t="b">
        <v>1</v>
      </c>
      <c r="D28" s="27">
        <v>6.0</v>
      </c>
      <c r="E28" s="27" t="str">
        <f t="shared" si="2"/>
        <v>Monday</v>
      </c>
      <c r="F28" s="28">
        <f>WORKDAY(B2, 21)</f>
        <v>45621</v>
      </c>
      <c r="G28" s="27" t="s">
        <v>18</v>
      </c>
      <c r="H28" s="29">
        <v>0.4791666666666667</v>
      </c>
      <c r="I28" s="29">
        <v>0.5</v>
      </c>
      <c r="J28" s="150" t="s">
        <v>630</v>
      </c>
      <c r="K28" s="27" t="s">
        <v>94</v>
      </c>
      <c r="L28" s="27" t="s">
        <v>100</v>
      </c>
      <c r="M28" s="27" t="s">
        <v>22</v>
      </c>
      <c r="N28" s="27" t="s">
        <v>22</v>
      </c>
      <c r="O28" s="33" t="s">
        <v>23</v>
      </c>
      <c r="P28" s="16"/>
    </row>
    <row r="29" ht="52.5" customHeight="1">
      <c r="A29" s="61"/>
      <c r="B29" s="34" t="s">
        <v>101</v>
      </c>
      <c r="C29" s="18" t="b">
        <v>1</v>
      </c>
      <c r="D29" s="35">
        <v>6.0</v>
      </c>
      <c r="E29" s="35" t="str">
        <f t="shared" si="2"/>
        <v>Tuesday</v>
      </c>
      <c r="F29" s="62">
        <f>WORKDAY(B2, 27)</f>
        <v>45629</v>
      </c>
      <c r="G29" s="35" t="s">
        <v>18</v>
      </c>
      <c r="H29" s="37">
        <v>0.5</v>
      </c>
      <c r="I29" s="37">
        <v>0.5208333333333334</v>
      </c>
      <c r="J29" s="35" t="s">
        <v>545</v>
      </c>
      <c r="K29" s="35" t="s">
        <v>23</v>
      </c>
      <c r="L29" s="35" t="s">
        <v>22</v>
      </c>
      <c r="M29" s="35" t="s">
        <v>22</v>
      </c>
      <c r="N29" s="38"/>
      <c r="O29" s="41" t="s">
        <v>37</v>
      </c>
      <c r="P29" s="61"/>
    </row>
    <row r="30" ht="52.5" customHeight="1">
      <c r="A30" s="61"/>
      <c r="B30" s="25" t="s">
        <v>649</v>
      </c>
      <c r="C30" s="26" t="b">
        <v>1</v>
      </c>
      <c r="D30" s="27" t="s">
        <v>103</v>
      </c>
      <c r="E30" s="27" t="str">
        <f t="shared" si="2"/>
        <v>Thursday</v>
      </c>
      <c r="F30" s="28">
        <v>45645.0</v>
      </c>
      <c r="G30" s="27" t="s">
        <v>18</v>
      </c>
      <c r="H30" s="49">
        <v>0.5</v>
      </c>
      <c r="I30" s="29">
        <v>0.5208333333333334</v>
      </c>
      <c r="J30" s="150" t="s">
        <v>630</v>
      </c>
      <c r="K30" s="27" t="s">
        <v>94</v>
      </c>
      <c r="L30" s="27" t="s">
        <v>22</v>
      </c>
      <c r="M30" s="27" t="s">
        <v>22</v>
      </c>
      <c r="N30" s="27" t="s">
        <v>22</v>
      </c>
      <c r="O30" s="33" t="s">
        <v>23</v>
      </c>
      <c r="P30" s="61"/>
    </row>
    <row r="31" ht="52.5" customHeight="1">
      <c r="A31" s="61"/>
      <c r="B31" s="34" t="s">
        <v>650</v>
      </c>
      <c r="C31" s="18" t="b">
        <v>1</v>
      </c>
      <c r="D31" s="35" t="s">
        <v>103</v>
      </c>
      <c r="E31" s="35" t="str">
        <f t="shared" si="2"/>
        <v>Friday</v>
      </c>
      <c r="F31" s="36">
        <v>45646.0</v>
      </c>
      <c r="G31" s="35" t="s">
        <v>18</v>
      </c>
      <c r="H31" s="63">
        <v>0.5</v>
      </c>
      <c r="I31" s="37">
        <v>0.5208333333333334</v>
      </c>
      <c r="J31" s="19" t="s">
        <v>651</v>
      </c>
      <c r="K31" s="35"/>
      <c r="L31" s="35" t="s">
        <v>22</v>
      </c>
      <c r="M31" s="35" t="s">
        <v>22</v>
      </c>
      <c r="N31" s="38"/>
      <c r="O31" s="41" t="s">
        <v>23</v>
      </c>
      <c r="P31" s="61"/>
    </row>
    <row r="32" ht="52.5" customHeight="1">
      <c r="A32" s="61"/>
      <c r="B32" s="64" t="s">
        <v>652</v>
      </c>
      <c r="C32" s="26" t="b">
        <v>1</v>
      </c>
      <c r="D32" s="65" t="s">
        <v>103</v>
      </c>
      <c r="E32" s="65" t="str">
        <f t="shared" si="2"/>
        <v>Wednesday</v>
      </c>
      <c r="F32" s="66">
        <f>WORKDAY(B2,63)</f>
        <v>45679</v>
      </c>
      <c r="G32" s="65" t="s">
        <v>18</v>
      </c>
      <c r="H32" s="67">
        <v>0.5</v>
      </c>
      <c r="I32" s="68">
        <v>0.5208333333333334</v>
      </c>
      <c r="J32" s="150" t="s">
        <v>630</v>
      </c>
      <c r="K32" s="27" t="s">
        <v>94</v>
      </c>
      <c r="L32" s="65" t="s">
        <v>22</v>
      </c>
      <c r="M32" s="65" t="s">
        <v>22</v>
      </c>
      <c r="N32" s="65" t="s">
        <v>22</v>
      </c>
      <c r="O32" s="69" t="s">
        <v>23</v>
      </c>
      <c r="P32" s="61"/>
    </row>
    <row r="33">
      <c r="A33" s="3"/>
      <c r="B33" s="3"/>
      <c r="C33" s="2"/>
      <c r="D33" s="3"/>
      <c r="E33" s="70"/>
      <c r="F33" s="70"/>
      <c r="G33" s="71"/>
      <c r="H33" s="71"/>
      <c r="I33" s="71"/>
      <c r="J33" s="3"/>
      <c r="K33" s="3"/>
      <c r="L33" s="72"/>
      <c r="M33" s="3"/>
      <c r="N33" s="3"/>
      <c r="O33" s="3"/>
      <c r="P33" s="3"/>
    </row>
  </sheetData>
  <mergeCells count="1">
    <mergeCell ref="D3:O3"/>
  </mergeCells>
  <hyperlinks>
    <hyperlink r:id="rId1" ref="B3"/>
    <hyperlink r:id="rId2" location="slide=id.gf32bf9945b_0_954" ref="M6"/>
    <hyperlink r:id="rId3" ref="M7"/>
    <hyperlink r:id="rId4" ref="M8"/>
    <hyperlink r:id="rId5" location="Trafficking101-IAS" ref="L9"/>
    <hyperlink r:id="rId6" ref="M9"/>
    <hyperlink r:id="rId7" ref="M10"/>
    <hyperlink r:id="rId8" ref="N10"/>
    <hyperlink r:id="rId9" location="slide=id.g2c6c71b5974_2_458" ref="M11"/>
    <hyperlink r:id="rId10" ref="M14"/>
    <hyperlink r:id="rId11" ref="N14"/>
    <hyperlink r:id="rId12" location="gid=2144868993" ref="M15"/>
    <hyperlink r:id="rId13" ref="M17"/>
    <hyperlink r:id="rId14" ref="M18"/>
    <hyperlink r:id="rId15" ref="N19"/>
    <hyperlink r:id="rId16" location="gid=1399114443" ref="M20"/>
    <hyperlink r:id="rId17" ref="L22"/>
    <hyperlink r:id="rId18" ref="M22"/>
    <hyperlink r:id="rId19" ref="M23"/>
    <hyperlink r:id="rId20" ref="N23"/>
    <hyperlink r:id="rId21" ref="M24"/>
    <hyperlink r:id="rId22" ref="N24"/>
    <hyperlink r:id="rId23" ref="M25"/>
    <hyperlink r:id="rId24" ref="N25"/>
    <hyperlink r:id="rId25" location="slide=id.g2c6c71b5974_2_22" ref="M27"/>
  </hyperlinks>
  <drawing r:id="rId2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65.88"/>
    <col customWidth="1" min="3" max="3" width="16.63"/>
    <col customWidth="1" min="4" max="4" width="68.25"/>
    <col customWidth="1" min="5" max="5" width="13.13"/>
    <col customWidth="1" min="6" max="6" width="3.63"/>
  </cols>
  <sheetData>
    <row r="1">
      <c r="A1" s="157"/>
      <c r="B1" s="157"/>
      <c r="C1" s="157"/>
      <c r="D1" s="157"/>
      <c r="E1" s="157"/>
      <c r="F1" s="158"/>
    </row>
    <row r="2">
      <c r="A2" s="157"/>
      <c r="B2" s="159" t="s">
        <v>653</v>
      </c>
      <c r="C2" s="160"/>
      <c r="D2" s="160"/>
      <c r="E2" s="161"/>
      <c r="F2" s="158"/>
    </row>
    <row r="3">
      <c r="A3" s="162"/>
      <c r="B3" s="163" t="s">
        <v>157</v>
      </c>
      <c r="C3" s="163" t="s">
        <v>158</v>
      </c>
      <c r="D3" s="163" t="s">
        <v>159</v>
      </c>
      <c r="E3" s="163" t="s">
        <v>515</v>
      </c>
      <c r="F3" s="158"/>
    </row>
    <row r="4">
      <c r="A4" s="164"/>
      <c r="B4" s="165" t="s">
        <v>599</v>
      </c>
      <c r="C4" s="166" t="s">
        <v>31</v>
      </c>
      <c r="D4" s="167" t="s">
        <v>163</v>
      </c>
      <c r="E4" s="169" t="s">
        <v>181</v>
      </c>
      <c r="F4" s="170"/>
    </row>
    <row r="5">
      <c r="A5" s="164"/>
      <c r="B5" s="171" t="s">
        <v>600</v>
      </c>
      <c r="C5" s="172" t="s">
        <v>31</v>
      </c>
      <c r="D5" s="173" t="s">
        <v>654</v>
      </c>
      <c r="E5" s="174" t="s">
        <v>181</v>
      </c>
      <c r="F5" s="170"/>
    </row>
    <row r="6">
      <c r="A6" s="164"/>
      <c r="B6" s="165" t="s">
        <v>602</v>
      </c>
      <c r="C6" s="175" t="s">
        <v>31</v>
      </c>
      <c r="D6" s="176" t="s">
        <v>655</v>
      </c>
      <c r="E6" s="177" t="s">
        <v>181</v>
      </c>
      <c r="F6" s="170"/>
    </row>
    <row r="7">
      <c r="A7" s="164"/>
      <c r="B7" s="171" t="s">
        <v>604</v>
      </c>
      <c r="C7" s="172" t="s">
        <v>31</v>
      </c>
      <c r="D7" s="173" t="s">
        <v>656</v>
      </c>
      <c r="E7" s="174" t="s">
        <v>181</v>
      </c>
      <c r="F7" s="170"/>
    </row>
    <row r="8">
      <c r="A8" s="164"/>
      <c r="B8" s="165" t="s">
        <v>606</v>
      </c>
      <c r="C8" s="175" t="s">
        <v>31</v>
      </c>
      <c r="D8" s="165" t="s">
        <v>607</v>
      </c>
      <c r="E8" s="177" t="s">
        <v>181</v>
      </c>
      <c r="F8" s="170"/>
    </row>
    <row r="9">
      <c r="A9" s="164"/>
      <c r="B9" s="171" t="s">
        <v>608</v>
      </c>
      <c r="C9" s="172" t="s">
        <v>31</v>
      </c>
      <c r="D9" s="173" t="s">
        <v>657</v>
      </c>
      <c r="E9" s="174" t="s">
        <v>164</v>
      </c>
      <c r="F9" s="170"/>
    </row>
    <row r="10">
      <c r="A10" s="164"/>
      <c r="B10" s="179" t="s">
        <v>610</v>
      </c>
      <c r="C10" s="180" t="s">
        <v>31</v>
      </c>
      <c r="D10" s="179" t="s">
        <v>611</v>
      </c>
      <c r="E10" s="182" t="s">
        <v>181</v>
      </c>
      <c r="F10" s="170"/>
    </row>
    <row r="11">
      <c r="A11" s="164"/>
      <c r="B11" s="451" t="s">
        <v>658</v>
      </c>
      <c r="C11" s="174" t="s">
        <v>31</v>
      </c>
      <c r="D11" s="184" t="s">
        <v>517</v>
      </c>
      <c r="E11" s="185" t="s">
        <v>181</v>
      </c>
      <c r="F11" s="170"/>
    </row>
    <row r="12">
      <c r="A12" s="164"/>
      <c r="B12" s="187" t="s">
        <v>613</v>
      </c>
      <c r="C12" s="177" t="s">
        <v>183</v>
      </c>
      <c r="D12" s="452" t="s">
        <v>614</v>
      </c>
      <c r="E12" s="168" t="s">
        <v>181</v>
      </c>
      <c r="F12" s="170"/>
    </row>
    <row r="13">
      <c r="A13" s="164"/>
      <c r="B13" s="189" t="s">
        <v>185</v>
      </c>
      <c r="C13" s="174" t="s">
        <v>183</v>
      </c>
      <c r="D13" s="190" t="s">
        <v>615</v>
      </c>
      <c r="E13" s="185" t="s">
        <v>181</v>
      </c>
      <c r="F13" s="170"/>
    </row>
    <row r="14">
      <c r="A14" s="164"/>
      <c r="B14" s="194" t="s">
        <v>187</v>
      </c>
      <c r="C14" s="177" t="s">
        <v>31</v>
      </c>
      <c r="D14" s="192" t="s">
        <v>518</v>
      </c>
      <c r="E14" s="168" t="s">
        <v>181</v>
      </c>
      <c r="F14" s="170"/>
    </row>
    <row r="15">
      <c r="A15" s="164"/>
      <c r="B15" s="195" t="s">
        <v>616</v>
      </c>
      <c r="C15" s="174" t="s">
        <v>192</v>
      </c>
      <c r="D15" s="184" t="s">
        <v>190</v>
      </c>
      <c r="E15" s="185" t="s">
        <v>181</v>
      </c>
      <c r="F15" s="170"/>
    </row>
    <row r="16">
      <c r="A16" s="164"/>
      <c r="B16" s="194" t="s">
        <v>520</v>
      </c>
      <c r="C16" s="177" t="s">
        <v>192</v>
      </c>
      <c r="D16" s="192" t="s">
        <v>521</v>
      </c>
      <c r="E16" s="168" t="s">
        <v>181</v>
      </c>
      <c r="F16" s="170"/>
    </row>
    <row r="17">
      <c r="A17" s="164"/>
      <c r="B17" s="195" t="s">
        <v>522</v>
      </c>
      <c r="C17" s="174" t="s">
        <v>31</v>
      </c>
      <c r="D17" s="190" t="s">
        <v>523</v>
      </c>
      <c r="E17" s="185" t="s">
        <v>181</v>
      </c>
      <c r="F17" s="170"/>
    </row>
    <row r="18">
      <c r="A18" s="164"/>
      <c r="B18" s="194" t="s">
        <v>524</v>
      </c>
      <c r="C18" s="177" t="s">
        <v>197</v>
      </c>
      <c r="D18" s="196" t="s">
        <v>525</v>
      </c>
      <c r="E18" s="168" t="s">
        <v>181</v>
      </c>
      <c r="F18" s="170"/>
    </row>
    <row r="19">
      <c r="A19" s="164"/>
      <c r="B19" s="195" t="s">
        <v>617</v>
      </c>
      <c r="C19" s="174"/>
      <c r="D19" s="184" t="s">
        <v>618</v>
      </c>
      <c r="E19" s="185"/>
      <c r="F19" s="170"/>
    </row>
    <row r="20">
      <c r="A20" s="164"/>
      <c r="B20" s="194" t="s">
        <v>199</v>
      </c>
      <c r="C20" s="177" t="s">
        <v>19</v>
      </c>
      <c r="D20" s="192" t="s">
        <v>659</v>
      </c>
      <c r="E20" s="168" t="s">
        <v>171</v>
      </c>
      <c r="F20" s="170"/>
    </row>
    <row r="21">
      <c r="A21" s="164"/>
      <c r="B21" s="195" t="s">
        <v>527</v>
      </c>
      <c r="C21" s="174" t="s">
        <v>192</v>
      </c>
      <c r="D21" s="185" t="s">
        <v>528</v>
      </c>
      <c r="E21" s="185" t="s">
        <v>181</v>
      </c>
      <c r="F21" s="170"/>
    </row>
    <row r="22">
      <c r="A22" s="164"/>
      <c r="B22" s="194" t="s">
        <v>203</v>
      </c>
      <c r="C22" s="177" t="s">
        <v>192</v>
      </c>
      <c r="D22" s="168" t="s">
        <v>529</v>
      </c>
      <c r="E22" s="168" t="s">
        <v>181</v>
      </c>
      <c r="F22" s="170"/>
    </row>
    <row r="23">
      <c r="A23" s="164"/>
      <c r="B23" s="195" t="s">
        <v>205</v>
      </c>
      <c r="C23" s="174" t="s">
        <v>192</v>
      </c>
      <c r="D23" s="190" t="s">
        <v>530</v>
      </c>
      <c r="E23" s="185" t="s">
        <v>181</v>
      </c>
      <c r="F23" s="170"/>
    </row>
    <row r="24">
      <c r="A24" s="164"/>
      <c r="B24" s="194" t="s">
        <v>207</v>
      </c>
      <c r="C24" s="177" t="s">
        <v>192</v>
      </c>
      <c r="D24" s="192" t="s">
        <v>660</v>
      </c>
      <c r="E24" s="168" t="s">
        <v>181</v>
      </c>
      <c r="F24" s="170"/>
    </row>
    <row r="25">
      <c r="A25" s="164"/>
      <c r="B25" s="195" t="s">
        <v>209</v>
      </c>
      <c r="C25" s="174" t="s">
        <v>192</v>
      </c>
      <c r="D25" s="184" t="s">
        <v>661</v>
      </c>
      <c r="E25" s="185" t="s">
        <v>181</v>
      </c>
      <c r="F25" s="170"/>
    </row>
    <row r="26">
      <c r="A26" s="164"/>
      <c r="B26" s="194" t="s">
        <v>211</v>
      </c>
      <c r="C26" s="177" t="s">
        <v>192</v>
      </c>
      <c r="D26" s="192" t="s">
        <v>662</v>
      </c>
      <c r="E26" s="168" t="s">
        <v>181</v>
      </c>
      <c r="F26" s="170"/>
    </row>
    <row r="27">
      <c r="A27" s="164"/>
      <c r="B27" s="195" t="s">
        <v>215</v>
      </c>
      <c r="C27" s="174" t="s">
        <v>183</v>
      </c>
      <c r="D27" s="184" t="s">
        <v>663</v>
      </c>
      <c r="E27" s="185" t="s">
        <v>171</v>
      </c>
      <c r="F27" s="170"/>
    </row>
    <row r="28">
      <c r="A28" s="164"/>
      <c r="B28" s="194" t="s">
        <v>78</v>
      </c>
      <c r="C28" s="177" t="s">
        <v>183</v>
      </c>
      <c r="D28" s="196" t="s">
        <v>624</v>
      </c>
      <c r="E28" s="168" t="s">
        <v>181</v>
      </c>
      <c r="F28" s="170"/>
    </row>
    <row r="29">
      <c r="A29" s="164"/>
      <c r="B29" s="195" t="s">
        <v>21</v>
      </c>
      <c r="C29" s="174" t="s">
        <v>19</v>
      </c>
      <c r="D29" s="190" t="s">
        <v>219</v>
      </c>
      <c r="E29" s="185" t="s">
        <v>171</v>
      </c>
      <c r="F29" s="170"/>
    </row>
    <row r="30">
      <c r="A30" s="170"/>
      <c r="B30" s="198" t="s">
        <v>220</v>
      </c>
      <c r="C30" s="199" t="s">
        <v>183</v>
      </c>
      <c r="D30" s="200" t="s">
        <v>664</v>
      </c>
      <c r="E30" s="201" t="s">
        <v>164</v>
      </c>
      <c r="F30" s="170"/>
    </row>
    <row r="31">
      <c r="A31" s="164"/>
      <c r="B31" s="203" t="s">
        <v>222</v>
      </c>
      <c r="C31" s="202" t="s">
        <v>183</v>
      </c>
      <c r="D31" s="204" t="s">
        <v>665</v>
      </c>
      <c r="E31" s="205" t="s">
        <v>164</v>
      </c>
      <c r="F31" s="170"/>
    </row>
    <row r="32">
      <c r="A32" s="170"/>
      <c r="B32" s="170"/>
      <c r="C32" s="170"/>
      <c r="D32" s="170"/>
      <c r="E32" s="170"/>
      <c r="F32" s="170"/>
    </row>
    <row r="33">
      <c r="A33" s="170"/>
      <c r="B33" s="220" t="s">
        <v>256</v>
      </c>
      <c r="C33" s="220" t="s">
        <v>192</v>
      </c>
      <c r="D33" s="221" t="s">
        <v>666</v>
      </c>
      <c r="E33" s="170"/>
      <c r="F33" s="170"/>
    </row>
    <row r="34">
      <c r="A34" s="170"/>
      <c r="B34" s="170"/>
      <c r="C34" s="170"/>
      <c r="D34" s="170"/>
      <c r="E34" s="170"/>
      <c r="F34" s="170"/>
    </row>
    <row r="35">
      <c r="A35" s="170"/>
      <c r="B35" s="170"/>
      <c r="C35" s="170"/>
      <c r="D35" s="170"/>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sheetData>
  <mergeCells count="1">
    <mergeCell ref="B2:E2"/>
  </mergeCells>
  <dataValidations>
    <dataValidation type="list" allowBlank="1" showErrorMessage="1" sqref="E4:E31">
      <formula1>"Backlog,In Progress,Completed"</formula1>
    </dataValidation>
  </dataValidations>
  <hyperlinks>
    <hyperlink r:id="rId1" ref="D5"/>
    <hyperlink r:id="rId2" ref="D6"/>
    <hyperlink r:id="rId3" ref="D7"/>
    <hyperlink r:id="rId4" ref="D9"/>
    <hyperlink r:id="rId5" ref="B11"/>
    <hyperlink r:id="rId6" location="slide=id.g27b04383fa0_0_373" ref="D11"/>
    <hyperlink r:id="rId7" ref="D14"/>
    <hyperlink r:id="rId8" ref="D15"/>
    <hyperlink r:id="rId9" ref="D16"/>
    <hyperlink r:id="rId10" ref="D19"/>
    <hyperlink r:id="rId11" location="/accounts/6344/campaigns?status=1&amp;archived=false&amp;ids=" ref="D20"/>
    <hyperlink r:id="rId12" ref="D24"/>
    <hyperlink r:id="rId13" ref="D25"/>
    <hyperlink r:id="rId14" ref="D26"/>
    <hyperlink r:id="rId15" ref="D27"/>
    <hyperlink r:id="rId16" ref="D30"/>
    <hyperlink r:id="rId17" ref="D31"/>
    <hyperlink r:id="rId18" ref="D33"/>
  </hyperlinks>
  <drawing r:id="rId19"/>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7.63"/>
    <col customWidth="1" min="4" max="4" width="4.38"/>
    <col customWidth="1" min="5" max="7" width="8.88"/>
    <col customWidth="1" min="8" max="9" width="7.0"/>
    <col customWidth="1" min="11" max="11" width="18.0"/>
    <col customWidth="1" min="12" max="12" width="43.88"/>
    <col customWidth="1" min="13" max="13" width="27.38"/>
    <col customWidth="1" min="14" max="14" width="19.5"/>
    <col customWidth="1" min="15" max="15" width="15.88"/>
    <col customWidth="1" min="16" max="16" width="4.13"/>
  </cols>
  <sheetData>
    <row r="1">
      <c r="A1" s="1"/>
      <c r="B1" s="1" t="s">
        <v>667</v>
      </c>
      <c r="C1" s="3"/>
      <c r="D1" s="3"/>
      <c r="E1" s="4" t="s">
        <v>668</v>
      </c>
      <c r="F1" s="4"/>
      <c r="G1" s="4"/>
      <c r="H1" s="4" t="s">
        <v>669</v>
      </c>
      <c r="I1" s="4"/>
      <c r="J1" s="1"/>
      <c r="K1" s="1"/>
      <c r="L1" s="5"/>
      <c r="M1" s="1"/>
      <c r="N1" s="1"/>
      <c r="O1" s="1"/>
      <c r="P1" s="1"/>
    </row>
    <row r="2">
      <c r="A2" s="1"/>
      <c r="B2" s="6">
        <v>45502.0</v>
      </c>
      <c r="C2" s="3"/>
      <c r="D2" s="3"/>
      <c r="E2" s="6">
        <v>45502.0</v>
      </c>
      <c r="F2" s="4"/>
      <c r="G2" s="4"/>
      <c r="H2" s="4" t="s">
        <v>670</v>
      </c>
      <c r="I2" s="4"/>
      <c r="J2" s="1"/>
      <c r="K2" s="1"/>
      <c r="L2" s="5"/>
      <c r="M2" s="1"/>
      <c r="N2" s="1"/>
      <c r="O2" s="1"/>
      <c r="P2" s="1"/>
    </row>
    <row r="3">
      <c r="A3" s="1"/>
      <c r="B3" s="7" t="s">
        <v>671</v>
      </c>
      <c r="C3" s="8"/>
      <c r="D3" s="9" t="s">
        <v>672</v>
      </c>
      <c r="E3" s="463"/>
      <c r="F3" s="463"/>
      <c r="G3" s="463"/>
      <c r="H3" s="463"/>
      <c r="I3" s="463"/>
      <c r="J3" s="463"/>
      <c r="K3" s="463"/>
      <c r="L3" s="463"/>
      <c r="M3" s="463"/>
      <c r="N3" s="463"/>
      <c r="O3" s="464"/>
      <c r="P3" s="1"/>
    </row>
    <row r="4">
      <c r="A4" s="1"/>
      <c r="B4" s="465" t="s">
        <v>3</v>
      </c>
      <c r="C4" s="466" t="s">
        <v>4</v>
      </c>
      <c r="D4" s="467" t="s">
        <v>5</v>
      </c>
      <c r="E4" s="467" t="s">
        <v>6</v>
      </c>
      <c r="F4" s="467" t="s">
        <v>7</v>
      </c>
      <c r="G4" s="467" t="s">
        <v>8</v>
      </c>
      <c r="H4" s="466" t="s">
        <v>9</v>
      </c>
      <c r="I4" s="466" t="s">
        <v>10</v>
      </c>
      <c r="J4" s="465" t="s">
        <v>11</v>
      </c>
      <c r="K4" s="465" t="s">
        <v>12</v>
      </c>
      <c r="L4" s="468" t="s">
        <v>13</v>
      </c>
      <c r="M4" s="465" t="s">
        <v>14</v>
      </c>
      <c r="N4" s="465" t="s">
        <v>15</v>
      </c>
      <c r="O4" s="465" t="s">
        <v>16</v>
      </c>
      <c r="P4" s="1"/>
    </row>
    <row r="5" ht="52.5" customHeight="1">
      <c r="A5" s="16"/>
      <c r="B5" s="469" t="s">
        <v>17</v>
      </c>
      <c r="C5" s="470" t="b">
        <v>1</v>
      </c>
      <c r="D5" s="471">
        <v>1.0</v>
      </c>
      <c r="E5" s="471" t="str">
        <f t="shared" ref="E5:E32" si="1">TEXT(F5, "dddd")</f>
        <v>Wednesday</v>
      </c>
      <c r="F5" s="472">
        <v>45504.0</v>
      </c>
      <c r="G5" s="471" t="s">
        <v>18</v>
      </c>
      <c r="H5" s="473">
        <v>0.625</v>
      </c>
      <c r="I5" s="473">
        <v>0.6458333333333334</v>
      </c>
      <c r="J5" s="471" t="s">
        <v>673</v>
      </c>
      <c r="K5" s="471" t="s">
        <v>110</v>
      </c>
      <c r="L5" s="474" t="s">
        <v>20</v>
      </c>
      <c r="M5" s="471" t="s">
        <v>21</v>
      </c>
      <c r="N5" s="471" t="s">
        <v>22</v>
      </c>
      <c r="O5" s="475" t="s">
        <v>23</v>
      </c>
      <c r="P5" s="16"/>
    </row>
    <row r="6" ht="52.5" customHeight="1">
      <c r="A6" s="16"/>
      <c r="B6" s="476" t="s">
        <v>24</v>
      </c>
      <c r="C6" s="477" t="b">
        <v>1</v>
      </c>
      <c r="D6" s="16">
        <v>1.0</v>
      </c>
      <c r="E6" s="16" t="str">
        <f t="shared" si="1"/>
        <v>Thursday</v>
      </c>
      <c r="F6" s="478">
        <f>WORKDAY(F5, 1)</f>
        <v>45505</v>
      </c>
      <c r="G6" s="16" t="s">
        <v>18</v>
      </c>
      <c r="H6" s="479">
        <v>0.5208333333333334</v>
      </c>
      <c r="I6" s="479">
        <v>0.5416666666666666</v>
      </c>
      <c r="J6" s="16" t="s">
        <v>545</v>
      </c>
      <c r="K6" s="61"/>
      <c r="L6" s="480" t="s">
        <v>25</v>
      </c>
      <c r="M6" s="481" t="s">
        <v>26</v>
      </c>
      <c r="N6" s="16" t="s">
        <v>22</v>
      </c>
      <c r="O6" s="482" t="s">
        <v>23</v>
      </c>
      <c r="P6" s="16"/>
    </row>
    <row r="7" ht="52.5" customHeight="1">
      <c r="A7" s="16"/>
      <c r="B7" s="483" t="s">
        <v>27</v>
      </c>
      <c r="C7" s="484" t="b">
        <v>1</v>
      </c>
      <c r="D7" s="485">
        <v>1.0</v>
      </c>
      <c r="E7" s="485" t="str">
        <f t="shared" si="1"/>
        <v>Monday</v>
      </c>
      <c r="F7" s="486">
        <f>WORKDAY(F6, 2)</f>
        <v>45509</v>
      </c>
      <c r="G7" s="485" t="s">
        <v>18</v>
      </c>
      <c r="H7" s="487">
        <v>0.5</v>
      </c>
      <c r="I7" s="487">
        <v>0.5208333333333334</v>
      </c>
      <c r="J7" s="485" t="s">
        <v>112</v>
      </c>
      <c r="K7" s="485" t="s">
        <v>115</v>
      </c>
      <c r="L7" s="488" t="s">
        <v>28</v>
      </c>
      <c r="M7" s="489" t="s">
        <v>674</v>
      </c>
      <c r="N7" s="485" t="s">
        <v>22</v>
      </c>
      <c r="O7" s="490" t="s">
        <v>23</v>
      </c>
      <c r="P7" s="16"/>
    </row>
    <row r="8" ht="52.5" customHeight="1">
      <c r="A8" s="16"/>
      <c r="B8" s="476" t="s">
        <v>30</v>
      </c>
      <c r="C8" s="477" t="b">
        <v>1</v>
      </c>
      <c r="D8" s="16">
        <v>2.0</v>
      </c>
      <c r="E8" s="16" t="str">
        <f t="shared" si="1"/>
        <v>Monday</v>
      </c>
      <c r="F8" s="478">
        <f>WORKDAY(B2, 5)</f>
        <v>45509</v>
      </c>
      <c r="G8" s="16" t="s">
        <v>18</v>
      </c>
      <c r="H8" s="479">
        <v>0.5208333333333334</v>
      </c>
      <c r="I8" s="479">
        <v>0.5416666666666666</v>
      </c>
      <c r="J8" s="16" t="s">
        <v>31</v>
      </c>
      <c r="K8" s="16" t="s">
        <v>110</v>
      </c>
      <c r="L8" s="480" t="s">
        <v>550</v>
      </c>
      <c r="M8" s="481" t="s">
        <v>551</v>
      </c>
      <c r="N8" s="16" t="s">
        <v>22</v>
      </c>
      <c r="O8" s="482" t="s">
        <v>23</v>
      </c>
      <c r="P8" s="16"/>
    </row>
    <row r="9" ht="52.5" customHeight="1">
      <c r="A9" s="16"/>
      <c r="B9" s="483" t="s">
        <v>34</v>
      </c>
      <c r="C9" s="484" t="b">
        <v>1</v>
      </c>
      <c r="D9" s="485">
        <v>2.0</v>
      </c>
      <c r="E9" s="485" t="str">
        <f t="shared" si="1"/>
        <v>Tuesday</v>
      </c>
      <c r="F9" s="486">
        <f>WORKDAY(B2, 6)</f>
        <v>45510</v>
      </c>
      <c r="G9" s="485" t="s">
        <v>18</v>
      </c>
      <c r="H9" s="487">
        <v>0.5</v>
      </c>
      <c r="I9" s="487">
        <v>0.5208333333333334</v>
      </c>
      <c r="J9" s="485" t="s">
        <v>114</v>
      </c>
      <c r="K9" s="485" t="s">
        <v>675</v>
      </c>
      <c r="L9" s="491" t="s">
        <v>676</v>
      </c>
      <c r="M9" s="489" t="s">
        <v>36</v>
      </c>
      <c r="N9" s="485" t="s">
        <v>22</v>
      </c>
      <c r="O9" s="490" t="s">
        <v>37</v>
      </c>
      <c r="P9" s="16"/>
    </row>
    <row r="10" ht="52.5" customHeight="1">
      <c r="A10" s="16"/>
      <c r="B10" s="476" t="s">
        <v>38</v>
      </c>
      <c r="C10" s="477" t="b">
        <v>1</v>
      </c>
      <c r="D10" s="16">
        <v>2.0</v>
      </c>
      <c r="E10" s="16" t="str">
        <f t="shared" si="1"/>
        <v>Tuesday</v>
      </c>
      <c r="F10" s="478">
        <f>WORKDAY(B2, 6)</f>
        <v>45510</v>
      </c>
      <c r="G10" s="16" t="s">
        <v>39</v>
      </c>
      <c r="H10" s="479">
        <v>0.5208333333333334</v>
      </c>
      <c r="I10" s="479">
        <v>0.5625</v>
      </c>
      <c r="J10" s="16" t="s">
        <v>112</v>
      </c>
      <c r="K10" s="16" t="s">
        <v>677</v>
      </c>
      <c r="L10" s="480" t="s">
        <v>40</v>
      </c>
      <c r="M10" s="481" t="s">
        <v>41</v>
      </c>
      <c r="N10" s="481" t="s">
        <v>42</v>
      </c>
      <c r="O10" s="492" t="s">
        <v>37</v>
      </c>
      <c r="P10" s="16"/>
    </row>
    <row r="11" ht="52.5" customHeight="1">
      <c r="A11" s="16"/>
      <c r="B11" s="483" t="s">
        <v>43</v>
      </c>
      <c r="C11" s="484" t="b">
        <v>1</v>
      </c>
      <c r="D11" s="485">
        <v>2.0</v>
      </c>
      <c r="E11" s="485" t="str">
        <f t="shared" si="1"/>
        <v>Wednesday</v>
      </c>
      <c r="F11" s="486">
        <f>WORKDAY(B2, 7)</f>
        <v>45511</v>
      </c>
      <c r="G11" s="485" t="s">
        <v>18</v>
      </c>
      <c r="H11" s="487">
        <v>0.5</v>
      </c>
      <c r="I11" s="487">
        <v>0.5208333333333334</v>
      </c>
      <c r="J11" s="485" t="s">
        <v>118</v>
      </c>
      <c r="K11" s="493"/>
      <c r="L11" s="488" t="s">
        <v>44</v>
      </c>
      <c r="M11" s="489" t="s">
        <v>555</v>
      </c>
      <c r="N11" s="485" t="s">
        <v>22</v>
      </c>
      <c r="O11" s="490" t="s">
        <v>23</v>
      </c>
      <c r="P11" s="16"/>
    </row>
    <row r="12" ht="52.5" customHeight="1">
      <c r="A12" s="16"/>
      <c r="B12" s="476" t="s">
        <v>46</v>
      </c>
      <c r="C12" s="477" t="b">
        <v>1</v>
      </c>
      <c r="D12" s="16">
        <v>2.0</v>
      </c>
      <c r="E12" s="16" t="str">
        <f t="shared" si="1"/>
        <v>Wednesday</v>
      </c>
      <c r="F12" s="478">
        <f>WORKDAY(B2, 7)</f>
        <v>45511</v>
      </c>
      <c r="G12" s="16" t="s">
        <v>18</v>
      </c>
      <c r="H12" s="479">
        <v>0.5208333333333334</v>
      </c>
      <c r="I12" s="479">
        <v>0.5416666666666666</v>
      </c>
      <c r="J12" s="16" t="s">
        <v>119</v>
      </c>
      <c r="K12" s="61"/>
      <c r="L12" s="480" t="s">
        <v>47</v>
      </c>
      <c r="M12" s="16" t="s">
        <v>22</v>
      </c>
      <c r="N12" s="16" t="s">
        <v>22</v>
      </c>
      <c r="O12" s="482" t="s">
        <v>23</v>
      </c>
      <c r="P12" s="16"/>
    </row>
    <row r="13" ht="52.5" hidden="1" customHeight="1">
      <c r="A13" s="16"/>
      <c r="B13" s="483" t="s">
        <v>48</v>
      </c>
      <c r="C13" s="485"/>
      <c r="D13" s="485">
        <v>3.0</v>
      </c>
      <c r="E13" s="485" t="str">
        <f t="shared" si="1"/>
        <v>Tuesday</v>
      </c>
      <c r="F13" s="486">
        <f>WORKDAY(B2, 11)</f>
        <v>45517</v>
      </c>
      <c r="G13" s="485" t="s">
        <v>39</v>
      </c>
      <c r="H13" s="487">
        <v>0.5</v>
      </c>
      <c r="I13" s="487">
        <v>0.5416666666666666</v>
      </c>
      <c r="J13" s="493"/>
      <c r="K13" s="493"/>
      <c r="L13" s="488" t="s">
        <v>49</v>
      </c>
      <c r="M13" s="485" t="s">
        <v>22</v>
      </c>
      <c r="N13" s="485" t="s">
        <v>22</v>
      </c>
      <c r="O13" s="490" t="s">
        <v>50</v>
      </c>
      <c r="P13" s="16"/>
    </row>
    <row r="14" ht="52.5" hidden="1" customHeight="1">
      <c r="A14" s="16"/>
      <c r="B14" s="476" t="s">
        <v>51</v>
      </c>
      <c r="C14" s="16"/>
      <c r="D14" s="16">
        <v>3.0</v>
      </c>
      <c r="E14" s="16" t="str">
        <f t="shared" si="1"/>
        <v>Wednesday</v>
      </c>
      <c r="F14" s="478">
        <f>WORKDAY(B2, 12)</f>
        <v>45518</v>
      </c>
      <c r="G14" s="16" t="s">
        <v>18</v>
      </c>
      <c r="H14" s="479">
        <v>0.5</v>
      </c>
      <c r="I14" s="479">
        <v>0.5208333333333334</v>
      </c>
      <c r="J14" s="61"/>
      <c r="K14" s="61"/>
      <c r="L14" s="480" t="s">
        <v>52</v>
      </c>
      <c r="M14" s="481" t="s">
        <v>678</v>
      </c>
      <c r="N14" s="481" t="s">
        <v>42</v>
      </c>
      <c r="O14" s="492" t="s">
        <v>50</v>
      </c>
      <c r="P14" s="16"/>
    </row>
    <row r="15" ht="52.5" hidden="1" customHeight="1">
      <c r="A15" s="16"/>
      <c r="B15" s="483" t="s">
        <v>54</v>
      </c>
      <c r="C15" s="485"/>
      <c r="D15" s="485">
        <v>3.0</v>
      </c>
      <c r="E15" s="485" t="str">
        <f t="shared" si="1"/>
        <v>Wednesday</v>
      </c>
      <c r="F15" s="486">
        <f>WORKDAY(B2, 12)</f>
        <v>45518</v>
      </c>
      <c r="G15" s="485" t="s">
        <v>18</v>
      </c>
      <c r="H15" s="487">
        <v>0.5416666666666666</v>
      </c>
      <c r="I15" s="487">
        <v>0.5625</v>
      </c>
      <c r="J15" s="493"/>
      <c r="K15" s="493"/>
      <c r="L15" s="488" t="s">
        <v>55</v>
      </c>
      <c r="M15" s="489" t="s">
        <v>679</v>
      </c>
      <c r="N15" s="485" t="s">
        <v>57</v>
      </c>
      <c r="O15" s="490" t="s">
        <v>50</v>
      </c>
      <c r="P15" s="16"/>
    </row>
    <row r="16" ht="52.5" customHeight="1">
      <c r="A16" s="16"/>
      <c r="B16" s="476" t="s">
        <v>58</v>
      </c>
      <c r="C16" s="477" t="b">
        <v>1</v>
      </c>
      <c r="D16" s="16">
        <v>3.0</v>
      </c>
      <c r="E16" s="16" t="str">
        <f t="shared" si="1"/>
        <v>Thursday</v>
      </c>
      <c r="F16" s="478">
        <f>WORKDAY(B2, 13)</f>
        <v>45519</v>
      </c>
      <c r="G16" s="16" t="s">
        <v>18</v>
      </c>
      <c r="H16" s="479">
        <v>0.4375</v>
      </c>
      <c r="I16" s="479">
        <v>0.4583333333333333</v>
      </c>
      <c r="J16" s="16" t="s">
        <v>673</v>
      </c>
      <c r="K16" s="61"/>
      <c r="L16" s="480" t="s">
        <v>59</v>
      </c>
      <c r="M16" s="494" t="s">
        <v>22</v>
      </c>
      <c r="N16" s="16" t="s">
        <v>22</v>
      </c>
      <c r="O16" s="482" t="s">
        <v>23</v>
      </c>
      <c r="P16" s="16"/>
    </row>
    <row r="17" ht="52.5" customHeight="1">
      <c r="A17" s="16"/>
      <c r="B17" s="483" t="s">
        <v>60</v>
      </c>
      <c r="C17" s="484" t="b">
        <v>1</v>
      </c>
      <c r="D17" s="485">
        <v>4.0</v>
      </c>
      <c r="E17" s="485" t="str">
        <f t="shared" si="1"/>
        <v>Monday</v>
      </c>
      <c r="F17" s="486">
        <f>WORKDAY(B2, 15)</f>
        <v>45523</v>
      </c>
      <c r="G17" s="485" t="s">
        <v>18</v>
      </c>
      <c r="H17" s="487">
        <v>0.5</v>
      </c>
      <c r="I17" s="487">
        <v>0.5208333333333334</v>
      </c>
      <c r="J17" s="485" t="s">
        <v>562</v>
      </c>
      <c r="K17" s="485" t="s">
        <v>680</v>
      </c>
      <c r="L17" s="488" t="s">
        <v>61</v>
      </c>
      <c r="M17" s="489" t="s">
        <v>681</v>
      </c>
      <c r="N17" s="485" t="s">
        <v>22</v>
      </c>
      <c r="O17" s="490" t="s">
        <v>37</v>
      </c>
      <c r="P17" s="16"/>
    </row>
    <row r="18" ht="52.5" customHeight="1">
      <c r="A18" s="16"/>
      <c r="B18" s="476" t="s">
        <v>63</v>
      </c>
      <c r="C18" s="477" t="b">
        <v>1</v>
      </c>
      <c r="D18" s="16">
        <v>4.0</v>
      </c>
      <c r="E18" s="16" t="str">
        <f t="shared" si="1"/>
        <v>Tuesday</v>
      </c>
      <c r="F18" s="478">
        <f>WORKDAY(B2, 16)</f>
        <v>45524</v>
      </c>
      <c r="G18" s="16" t="s">
        <v>18</v>
      </c>
      <c r="H18" s="479">
        <v>0.4583333333333333</v>
      </c>
      <c r="I18" s="479">
        <v>0.4791666666666667</v>
      </c>
      <c r="J18" s="16" t="s">
        <v>562</v>
      </c>
      <c r="K18" s="16" t="s">
        <v>682</v>
      </c>
      <c r="L18" s="480" t="s">
        <v>683</v>
      </c>
      <c r="M18" s="495" t="s">
        <v>65</v>
      </c>
      <c r="N18" s="16" t="s">
        <v>22</v>
      </c>
      <c r="O18" s="482" t="s">
        <v>66</v>
      </c>
      <c r="P18" s="16"/>
    </row>
    <row r="19" ht="52.5" customHeight="1">
      <c r="A19" s="16"/>
      <c r="B19" s="483" t="s">
        <v>67</v>
      </c>
      <c r="C19" s="484" t="b">
        <v>1</v>
      </c>
      <c r="D19" s="485">
        <v>4.0</v>
      </c>
      <c r="E19" s="485" t="str">
        <f t="shared" si="1"/>
        <v>Tuesday</v>
      </c>
      <c r="F19" s="486">
        <f>WORKDAY(B2, 16)</f>
        <v>45524</v>
      </c>
      <c r="G19" s="485" t="s">
        <v>68</v>
      </c>
      <c r="H19" s="487">
        <v>0.4791666666666667</v>
      </c>
      <c r="I19" s="487">
        <v>0.5104166666666666</v>
      </c>
      <c r="J19" s="485" t="s">
        <v>562</v>
      </c>
      <c r="K19" s="485" t="s">
        <v>684</v>
      </c>
      <c r="L19" s="488" t="s">
        <v>69</v>
      </c>
      <c r="M19" s="496"/>
      <c r="N19" s="489" t="s">
        <v>42</v>
      </c>
      <c r="O19" s="497" t="s">
        <v>66</v>
      </c>
      <c r="P19" s="16"/>
    </row>
    <row r="20" ht="52.5" customHeight="1">
      <c r="A20" s="16"/>
      <c r="B20" s="476" t="s">
        <v>71</v>
      </c>
      <c r="C20" s="477" t="b">
        <v>0</v>
      </c>
      <c r="D20" s="16">
        <v>4.0</v>
      </c>
      <c r="E20" s="16" t="str">
        <f t="shared" si="1"/>
        <v>Wednesday</v>
      </c>
      <c r="F20" s="478">
        <f>WORKDAY(B2, 17)</f>
        <v>45525</v>
      </c>
      <c r="G20" s="16" t="s">
        <v>18</v>
      </c>
      <c r="H20" s="479">
        <v>0.5</v>
      </c>
      <c r="I20" s="479">
        <v>0.5208333333333334</v>
      </c>
      <c r="J20" s="16" t="s">
        <v>94</v>
      </c>
      <c r="K20" s="16" t="s">
        <v>641</v>
      </c>
      <c r="L20" s="480" t="s">
        <v>72</v>
      </c>
      <c r="M20" s="495" t="s">
        <v>584</v>
      </c>
      <c r="N20" s="494" t="s">
        <v>22</v>
      </c>
      <c r="O20" s="492" t="s">
        <v>23</v>
      </c>
      <c r="P20" s="16"/>
    </row>
    <row r="21" ht="52.5" hidden="1" customHeight="1">
      <c r="A21" s="16"/>
      <c r="B21" s="483" t="s">
        <v>74</v>
      </c>
      <c r="C21" s="485"/>
      <c r="D21" s="485">
        <v>4.0</v>
      </c>
      <c r="E21" s="485" t="str">
        <f t="shared" si="1"/>
        <v>Thursday</v>
      </c>
      <c r="F21" s="486">
        <f>WORKDAY(B2, 18)</f>
        <v>45526</v>
      </c>
      <c r="G21" s="485" t="s">
        <v>39</v>
      </c>
      <c r="H21" s="487">
        <v>0.5</v>
      </c>
      <c r="I21" s="487">
        <v>0.5416666666666666</v>
      </c>
      <c r="J21" s="493"/>
      <c r="K21" s="493"/>
      <c r="L21" s="485" t="s">
        <v>75</v>
      </c>
      <c r="M21" s="496" t="s">
        <v>22</v>
      </c>
      <c r="N21" s="496" t="s">
        <v>22</v>
      </c>
      <c r="O21" s="497" t="s">
        <v>50</v>
      </c>
      <c r="P21" s="16"/>
    </row>
    <row r="22" ht="52.5" customHeight="1">
      <c r="A22" s="16"/>
      <c r="B22" s="476" t="s">
        <v>76</v>
      </c>
      <c r="C22" s="477" t="b">
        <v>1</v>
      </c>
      <c r="D22" s="16">
        <v>5.0</v>
      </c>
      <c r="E22" s="16" t="str">
        <f t="shared" si="1"/>
        <v>Thursday</v>
      </c>
      <c r="F22" s="478">
        <f>WORKDAY(B2, 18)</f>
        <v>45526</v>
      </c>
      <c r="G22" s="16" t="s">
        <v>18</v>
      </c>
      <c r="H22" s="479">
        <v>0.5</v>
      </c>
      <c r="I22" s="479">
        <v>0.5208333333333334</v>
      </c>
      <c r="J22" s="16" t="s">
        <v>685</v>
      </c>
      <c r="K22" s="16" t="s">
        <v>686</v>
      </c>
      <c r="L22" s="498" t="s">
        <v>687</v>
      </c>
      <c r="M22" s="481" t="s">
        <v>688</v>
      </c>
      <c r="N22" s="494" t="s">
        <v>22</v>
      </c>
      <c r="O22" s="492" t="s">
        <v>37</v>
      </c>
      <c r="P22" s="16"/>
    </row>
    <row r="23" ht="52.5" customHeight="1">
      <c r="A23" s="16"/>
      <c r="B23" s="483" t="s">
        <v>79</v>
      </c>
      <c r="C23" s="484" t="b">
        <v>1</v>
      </c>
      <c r="D23" s="485">
        <v>5.0</v>
      </c>
      <c r="E23" s="485" t="str">
        <f t="shared" si="1"/>
        <v>Thursday</v>
      </c>
      <c r="F23" s="486">
        <f>WORKDAY(B2, 18)</f>
        <v>45526</v>
      </c>
      <c r="G23" s="485" t="s">
        <v>39</v>
      </c>
      <c r="H23" s="487">
        <v>0.5</v>
      </c>
      <c r="I23" s="487">
        <v>0.5416666666666666</v>
      </c>
      <c r="J23" s="485" t="s">
        <v>110</v>
      </c>
      <c r="K23" s="485" t="s">
        <v>126</v>
      </c>
      <c r="L23" s="488" t="s">
        <v>80</v>
      </c>
      <c r="M23" s="489" t="s">
        <v>81</v>
      </c>
      <c r="N23" s="489" t="s">
        <v>570</v>
      </c>
      <c r="O23" s="497" t="s">
        <v>37</v>
      </c>
      <c r="P23" s="16"/>
    </row>
    <row r="24" ht="52.5" customHeight="1">
      <c r="A24" s="16"/>
      <c r="B24" s="476" t="s">
        <v>83</v>
      </c>
      <c r="C24" s="477" t="b">
        <v>0</v>
      </c>
      <c r="D24" s="16">
        <v>5.0</v>
      </c>
      <c r="E24" s="16" t="str">
        <f t="shared" si="1"/>
        <v>Wednesday</v>
      </c>
      <c r="F24" s="478">
        <f>WORKDAY(B2, 22)</f>
        <v>45532</v>
      </c>
      <c r="G24" s="16" t="s">
        <v>39</v>
      </c>
      <c r="H24" s="479">
        <v>0.5</v>
      </c>
      <c r="I24" s="479">
        <v>0.5416666666666666</v>
      </c>
      <c r="J24" s="16" t="s">
        <v>94</v>
      </c>
      <c r="K24" s="16" t="s">
        <v>689</v>
      </c>
      <c r="L24" s="480" t="s">
        <v>84</v>
      </c>
      <c r="M24" s="481" t="s">
        <v>85</v>
      </c>
      <c r="N24" s="481" t="s">
        <v>690</v>
      </c>
      <c r="O24" s="492" t="s">
        <v>37</v>
      </c>
      <c r="P24" s="16"/>
    </row>
    <row r="25" ht="52.5" customHeight="1">
      <c r="A25" s="16"/>
      <c r="B25" s="483" t="s">
        <v>87</v>
      </c>
      <c r="C25" s="484" t="b">
        <v>1</v>
      </c>
      <c r="D25" s="485">
        <v>5.0</v>
      </c>
      <c r="E25" s="485" t="str">
        <f t="shared" si="1"/>
        <v>Thursday</v>
      </c>
      <c r="F25" s="486">
        <f>WORKDAY(B2, 23)</f>
        <v>45533</v>
      </c>
      <c r="G25" s="485" t="s">
        <v>39</v>
      </c>
      <c r="H25" s="499">
        <v>0.5833333333333334</v>
      </c>
      <c r="I25" s="487">
        <v>0.625</v>
      </c>
      <c r="J25" s="485" t="s">
        <v>114</v>
      </c>
      <c r="K25" s="485" t="s">
        <v>691</v>
      </c>
      <c r="L25" s="488" t="s">
        <v>88</v>
      </c>
      <c r="M25" s="489" t="s">
        <v>89</v>
      </c>
      <c r="N25" s="489" t="s">
        <v>42</v>
      </c>
      <c r="O25" s="497" t="s">
        <v>37</v>
      </c>
      <c r="P25" s="16"/>
    </row>
    <row r="26" ht="52.5" customHeight="1">
      <c r="A26" s="16"/>
      <c r="B26" s="476" t="s">
        <v>90</v>
      </c>
      <c r="C26" s="477" t="b">
        <v>1</v>
      </c>
      <c r="D26" s="16">
        <v>5.0</v>
      </c>
      <c r="E26" s="16" t="str">
        <f t="shared" si="1"/>
        <v>Tuesday</v>
      </c>
      <c r="F26" s="478">
        <f>WORKDAY(B2, 26)</f>
        <v>45538</v>
      </c>
      <c r="G26" s="16" t="s">
        <v>18</v>
      </c>
      <c r="H26" s="500">
        <v>0.5625</v>
      </c>
      <c r="I26" s="479">
        <v>0.5833333333333334</v>
      </c>
      <c r="J26" s="16" t="s">
        <v>562</v>
      </c>
      <c r="K26" s="16" t="s">
        <v>692</v>
      </c>
      <c r="L26" s="480" t="s">
        <v>91</v>
      </c>
      <c r="M26" s="16" t="s">
        <v>22</v>
      </c>
      <c r="N26" s="16" t="s">
        <v>22</v>
      </c>
      <c r="O26" s="482" t="s">
        <v>37</v>
      </c>
      <c r="P26" s="16"/>
    </row>
    <row r="27" ht="52.5" customHeight="1">
      <c r="A27" s="16"/>
      <c r="B27" s="476" t="s">
        <v>92</v>
      </c>
      <c r="C27" s="477" t="b">
        <v>0</v>
      </c>
      <c r="D27" s="16">
        <v>5.0</v>
      </c>
      <c r="E27" s="16" t="str">
        <f t="shared" si="1"/>
        <v>TBD</v>
      </c>
      <c r="F27" s="16" t="s">
        <v>93</v>
      </c>
      <c r="G27" s="16" t="s">
        <v>18</v>
      </c>
      <c r="H27" s="16" t="s">
        <v>93</v>
      </c>
      <c r="I27" s="16" t="s">
        <v>93</v>
      </c>
      <c r="J27" s="16" t="s">
        <v>94</v>
      </c>
      <c r="K27" s="16" t="s">
        <v>95</v>
      </c>
      <c r="L27" s="480" t="s">
        <v>693</v>
      </c>
      <c r="M27" s="16"/>
      <c r="N27" s="16"/>
      <c r="O27" s="482" t="s">
        <v>98</v>
      </c>
      <c r="P27" s="16" t="s">
        <v>694</v>
      </c>
    </row>
    <row r="28" ht="52.5" customHeight="1">
      <c r="A28" s="16"/>
      <c r="B28" s="483" t="s">
        <v>99</v>
      </c>
      <c r="C28" s="484" t="b">
        <v>1</v>
      </c>
      <c r="D28" s="485">
        <v>6.0</v>
      </c>
      <c r="E28" s="485" t="str">
        <f t="shared" si="1"/>
        <v>Tuesday</v>
      </c>
      <c r="F28" s="486">
        <f>WORKDAY(B2, 21)</f>
        <v>45531</v>
      </c>
      <c r="G28" s="485" t="s">
        <v>18</v>
      </c>
      <c r="H28" s="487">
        <v>0.5</v>
      </c>
      <c r="I28" s="487">
        <v>0.5208333333333334</v>
      </c>
      <c r="J28" s="485" t="s">
        <v>673</v>
      </c>
      <c r="K28" s="493"/>
      <c r="L28" s="485" t="s">
        <v>100</v>
      </c>
      <c r="M28" s="485" t="s">
        <v>22</v>
      </c>
      <c r="N28" s="485" t="s">
        <v>22</v>
      </c>
      <c r="O28" s="490" t="s">
        <v>23</v>
      </c>
      <c r="P28" s="16"/>
    </row>
    <row r="29" ht="52.5" customHeight="1">
      <c r="A29" s="61"/>
      <c r="B29" s="476" t="s">
        <v>101</v>
      </c>
      <c r="C29" s="477" t="b">
        <v>1</v>
      </c>
      <c r="D29" s="16">
        <v>6.0</v>
      </c>
      <c r="E29" s="453" t="str">
        <f t="shared" si="1"/>
        <v>Tuesday</v>
      </c>
      <c r="F29" s="501">
        <f>WORKDAY(B2, 26)</f>
        <v>45538</v>
      </c>
      <c r="G29" s="16" t="s">
        <v>18</v>
      </c>
      <c r="H29" s="479">
        <v>0.5</v>
      </c>
      <c r="I29" s="479">
        <v>0.5208333333333334</v>
      </c>
      <c r="J29" s="16" t="s">
        <v>545</v>
      </c>
      <c r="K29" s="16" t="s">
        <v>115</v>
      </c>
      <c r="L29" s="16" t="s">
        <v>695</v>
      </c>
      <c r="M29" s="16" t="s">
        <v>22</v>
      </c>
      <c r="N29" s="61"/>
      <c r="O29" s="482" t="s">
        <v>37</v>
      </c>
      <c r="P29" s="61"/>
    </row>
    <row r="30" ht="52.5" customHeight="1">
      <c r="A30" s="61"/>
      <c r="B30" s="483" t="s">
        <v>102</v>
      </c>
      <c r="C30" s="484" t="b">
        <v>1</v>
      </c>
      <c r="D30" s="485" t="s">
        <v>103</v>
      </c>
      <c r="E30" s="485" t="str">
        <f t="shared" si="1"/>
        <v>Wednesday</v>
      </c>
      <c r="F30" s="486">
        <f>WORKDAY(B2, 42)</f>
        <v>45560</v>
      </c>
      <c r="G30" s="485" t="s">
        <v>18</v>
      </c>
      <c r="H30" s="499">
        <v>0.5</v>
      </c>
      <c r="I30" s="487">
        <v>0.5208333333333334</v>
      </c>
      <c r="J30" s="485" t="s">
        <v>673</v>
      </c>
      <c r="K30" s="485"/>
      <c r="L30" s="485" t="s">
        <v>22</v>
      </c>
      <c r="M30" s="485" t="s">
        <v>22</v>
      </c>
      <c r="N30" s="485" t="s">
        <v>22</v>
      </c>
      <c r="O30" s="490" t="s">
        <v>23</v>
      </c>
      <c r="P30" s="61"/>
    </row>
    <row r="31" ht="52.5" customHeight="1">
      <c r="A31" s="61"/>
      <c r="B31" s="476" t="s">
        <v>104</v>
      </c>
      <c r="C31" s="477" t="b">
        <v>1</v>
      </c>
      <c r="D31" s="16" t="s">
        <v>103</v>
      </c>
      <c r="E31" s="16" t="str">
        <f t="shared" si="1"/>
        <v>Wednesday</v>
      </c>
      <c r="F31" s="478">
        <f>WORKDAY(B2, 42)</f>
        <v>45560</v>
      </c>
      <c r="G31" s="16" t="s">
        <v>18</v>
      </c>
      <c r="H31" s="500">
        <v>0.4583333333333333</v>
      </c>
      <c r="I31" s="479">
        <v>0.4791666666666667</v>
      </c>
      <c r="J31" s="16" t="s">
        <v>673</v>
      </c>
      <c r="K31" s="16" t="s">
        <v>562</v>
      </c>
      <c r="L31" s="16" t="s">
        <v>22</v>
      </c>
      <c r="M31" s="16" t="s">
        <v>22</v>
      </c>
      <c r="N31" s="61"/>
      <c r="O31" s="482" t="s">
        <v>23</v>
      </c>
      <c r="P31" s="61"/>
    </row>
    <row r="32" ht="52.5" customHeight="1">
      <c r="A32" s="61"/>
      <c r="B32" s="502" t="s">
        <v>105</v>
      </c>
      <c r="C32" s="503" t="b">
        <v>1</v>
      </c>
      <c r="D32" s="504" t="s">
        <v>103</v>
      </c>
      <c r="E32" s="504" t="str">
        <f t="shared" si="1"/>
        <v>Thursday</v>
      </c>
      <c r="F32" s="505">
        <f>WORKDAY(B2,63)</f>
        <v>45589</v>
      </c>
      <c r="G32" s="504" t="s">
        <v>18</v>
      </c>
      <c r="H32" s="506">
        <v>0.5208333333333334</v>
      </c>
      <c r="I32" s="507">
        <v>0.5416666666666666</v>
      </c>
      <c r="J32" s="504" t="s">
        <v>673</v>
      </c>
      <c r="K32" s="504"/>
      <c r="L32" s="504" t="s">
        <v>22</v>
      </c>
      <c r="M32" s="504" t="s">
        <v>22</v>
      </c>
      <c r="N32" s="504" t="s">
        <v>22</v>
      </c>
      <c r="O32" s="508" t="s">
        <v>23</v>
      </c>
      <c r="P32" s="61"/>
    </row>
    <row r="33">
      <c r="A33" s="3"/>
      <c r="B33" s="3"/>
      <c r="C33" s="3"/>
      <c r="D33" s="3"/>
      <c r="E33" s="70"/>
      <c r="F33" s="70"/>
      <c r="G33" s="71"/>
      <c r="H33" s="71"/>
      <c r="I33" s="71"/>
      <c r="J33" s="3"/>
      <c r="K33" s="3"/>
      <c r="L33" s="72"/>
      <c r="M33" s="3"/>
      <c r="N33" s="3"/>
      <c r="O33" s="3"/>
      <c r="P33" s="3"/>
    </row>
  </sheetData>
  <autoFilter ref="$B$4:$O$32">
    <filterColumn colId="13">
      <filters>
        <filter val="All"/>
        <filter val="P2-P4"/>
        <filter val="P-levels"/>
        <filter val="P3+"/>
      </filters>
    </filterColumn>
  </autoFilter>
  <mergeCells count="1">
    <mergeCell ref="D3:O3"/>
  </mergeCells>
  <hyperlinks>
    <hyperlink r:id="rId4" ref="B3"/>
    <hyperlink r:id="rId5" location="slide=id.gf32bf9945b_0_954" ref="M6"/>
    <hyperlink r:id="rId6" ref="M7"/>
    <hyperlink r:id="rId7" location="gid=644099024" ref="M8"/>
    <hyperlink r:id="rId8" location="Trafficking101-IAS" ref="L9"/>
    <hyperlink r:id="rId9" ref="M9"/>
    <hyperlink r:id="rId10" ref="M10"/>
    <hyperlink r:id="rId11" ref="N10"/>
    <hyperlink r:id="rId12" ref="M11"/>
    <hyperlink r:id="rId13" location="Trafficking101-Youtube" ref="M14"/>
    <hyperlink r:id="rId14" ref="N14"/>
    <hyperlink r:id="rId15" location="gid=2144868993" ref="M15"/>
    <hyperlink r:id="rId16" location="PlatformConversionPixelGeneration-AdOperations" ref="M17"/>
    <hyperlink r:id="rId17" ref="M18"/>
    <hyperlink r:id="rId18" ref="N19"/>
    <hyperlink r:id="rId19" location="gid=1399114443" ref="M20"/>
    <hyperlink r:id="rId20" location="slide=id.g2f43aa87b32_0_16" ref="L22"/>
    <hyperlink r:id="rId21" ref="M22"/>
    <hyperlink r:id="rId22" ref="M23"/>
    <hyperlink r:id="rId23" ref="N23"/>
    <hyperlink r:id="rId24" ref="M24"/>
    <hyperlink r:id="rId25" ref="N24"/>
    <hyperlink r:id="rId26" ref="M25"/>
    <hyperlink r:id="rId27" ref="N25"/>
  </hyperlinks>
  <drawing r:id="rId28"/>
  <legacyDrawing r:id="rId29"/>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62.38"/>
    <col customWidth="1" min="3" max="3" width="17.88"/>
    <col customWidth="1" min="4" max="4" width="71.63"/>
    <col customWidth="1" min="5" max="5" width="13.13"/>
    <col customWidth="1" min="6" max="6" width="3.63"/>
  </cols>
  <sheetData>
    <row r="1">
      <c r="A1" s="157"/>
      <c r="B1" s="157"/>
      <c r="C1" s="157"/>
      <c r="D1" s="157"/>
      <c r="E1" s="157"/>
      <c r="F1" s="158"/>
    </row>
    <row r="2">
      <c r="A2" s="157"/>
      <c r="B2" s="159" t="s">
        <v>696</v>
      </c>
      <c r="C2" s="160"/>
      <c r="D2" s="160"/>
      <c r="E2" s="161"/>
      <c r="F2" s="158"/>
    </row>
    <row r="3">
      <c r="A3" s="162"/>
      <c r="B3" s="163" t="s">
        <v>157</v>
      </c>
      <c r="C3" s="163" t="s">
        <v>158</v>
      </c>
      <c r="D3" s="163" t="s">
        <v>159</v>
      </c>
      <c r="E3" s="163" t="s">
        <v>515</v>
      </c>
      <c r="F3" s="158"/>
    </row>
    <row r="4">
      <c r="A4" s="164"/>
      <c r="B4" s="165" t="s">
        <v>599</v>
      </c>
      <c r="C4" s="166" t="s">
        <v>31</v>
      </c>
      <c r="D4" s="167" t="s">
        <v>163</v>
      </c>
      <c r="E4" s="169" t="s">
        <v>171</v>
      </c>
      <c r="F4" s="170"/>
    </row>
    <row r="5">
      <c r="A5" s="164"/>
      <c r="B5" s="171" t="s">
        <v>600</v>
      </c>
      <c r="C5" s="172" t="s">
        <v>31</v>
      </c>
      <c r="D5" s="173" t="s">
        <v>697</v>
      </c>
      <c r="E5" s="174" t="s">
        <v>171</v>
      </c>
      <c r="F5" s="170"/>
    </row>
    <row r="6">
      <c r="A6" s="164"/>
      <c r="B6" s="165" t="s">
        <v>602</v>
      </c>
      <c r="C6" s="175" t="s">
        <v>31</v>
      </c>
      <c r="D6" s="176" t="s">
        <v>698</v>
      </c>
      <c r="E6" s="177" t="s">
        <v>171</v>
      </c>
      <c r="F6" s="170"/>
    </row>
    <row r="7">
      <c r="A7" s="164"/>
      <c r="B7" s="171" t="s">
        <v>699</v>
      </c>
      <c r="C7" s="172" t="s">
        <v>31</v>
      </c>
      <c r="D7" s="173" t="s">
        <v>700</v>
      </c>
      <c r="E7" s="174" t="s">
        <v>171</v>
      </c>
      <c r="F7" s="170"/>
    </row>
    <row r="8">
      <c r="A8" s="164"/>
      <c r="B8" s="165" t="s">
        <v>606</v>
      </c>
      <c r="C8" s="175" t="s">
        <v>31</v>
      </c>
      <c r="D8" s="165" t="s">
        <v>173</v>
      </c>
      <c r="E8" s="177" t="s">
        <v>171</v>
      </c>
      <c r="F8" s="170"/>
    </row>
    <row r="9">
      <c r="A9" s="164"/>
      <c r="B9" s="171" t="s">
        <v>608</v>
      </c>
      <c r="C9" s="172" t="s">
        <v>31</v>
      </c>
      <c r="D9" s="173" t="s">
        <v>701</v>
      </c>
      <c r="E9" s="174" t="s">
        <v>171</v>
      </c>
      <c r="F9" s="170"/>
    </row>
    <row r="10">
      <c r="A10" s="164"/>
      <c r="B10" s="179" t="s">
        <v>610</v>
      </c>
      <c r="C10" s="180" t="s">
        <v>31</v>
      </c>
      <c r="D10" s="179" t="s">
        <v>611</v>
      </c>
      <c r="E10" s="182" t="s">
        <v>171</v>
      </c>
      <c r="F10" s="170"/>
    </row>
    <row r="11">
      <c r="A11" s="164"/>
      <c r="B11" s="451" t="s">
        <v>702</v>
      </c>
      <c r="C11" s="174" t="s">
        <v>31</v>
      </c>
      <c r="D11" s="184" t="s">
        <v>517</v>
      </c>
      <c r="E11" s="185" t="s">
        <v>171</v>
      </c>
      <c r="F11" s="170"/>
    </row>
    <row r="12">
      <c r="A12" s="164"/>
      <c r="B12" s="187" t="s">
        <v>613</v>
      </c>
      <c r="C12" s="177" t="s">
        <v>183</v>
      </c>
      <c r="D12" s="165" t="s">
        <v>614</v>
      </c>
      <c r="E12" s="168" t="s">
        <v>171</v>
      </c>
      <c r="F12" s="170"/>
    </row>
    <row r="13">
      <c r="A13" s="164"/>
      <c r="B13" s="189" t="s">
        <v>185</v>
      </c>
      <c r="C13" s="174" t="s">
        <v>183</v>
      </c>
      <c r="D13" s="190" t="s">
        <v>615</v>
      </c>
      <c r="E13" s="185" t="s">
        <v>171</v>
      </c>
      <c r="F13" s="170"/>
    </row>
    <row r="14">
      <c r="A14" s="164"/>
      <c r="B14" s="194" t="s">
        <v>187</v>
      </c>
      <c r="C14" s="177" t="s">
        <v>31</v>
      </c>
      <c r="D14" s="192" t="s">
        <v>518</v>
      </c>
      <c r="E14" s="168" t="s">
        <v>181</v>
      </c>
      <c r="F14" s="170"/>
    </row>
    <row r="15">
      <c r="A15" s="164"/>
      <c r="B15" s="195" t="s">
        <v>616</v>
      </c>
      <c r="C15" s="174" t="s">
        <v>31</v>
      </c>
      <c r="D15" s="184" t="s">
        <v>190</v>
      </c>
      <c r="E15" s="185" t="s">
        <v>181</v>
      </c>
      <c r="F15" s="170"/>
    </row>
    <row r="16">
      <c r="A16" s="164"/>
      <c r="B16" s="194" t="s">
        <v>191</v>
      </c>
      <c r="C16" s="177" t="s">
        <v>192</v>
      </c>
      <c r="D16" s="192" t="s">
        <v>521</v>
      </c>
      <c r="E16" s="168" t="s">
        <v>181</v>
      </c>
      <c r="F16" s="170"/>
    </row>
    <row r="17">
      <c r="A17" s="164"/>
      <c r="B17" s="195" t="s">
        <v>194</v>
      </c>
      <c r="C17" s="174" t="s">
        <v>31</v>
      </c>
      <c r="D17" s="190" t="s">
        <v>523</v>
      </c>
      <c r="E17" s="185" t="s">
        <v>181</v>
      </c>
      <c r="F17" s="170"/>
    </row>
    <row r="18">
      <c r="A18" s="164"/>
      <c r="B18" s="194" t="s">
        <v>703</v>
      </c>
      <c r="C18" s="177" t="s">
        <v>197</v>
      </c>
      <c r="D18" s="196" t="s">
        <v>525</v>
      </c>
      <c r="E18" s="168" t="s">
        <v>181</v>
      </c>
      <c r="F18" s="170"/>
    </row>
    <row r="19">
      <c r="A19" s="164"/>
      <c r="B19" s="195" t="s">
        <v>199</v>
      </c>
      <c r="C19" s="174" t="s">
        <v>19</v>
      </c>
      <c r="D19" s="190" t="s">
        <v>526</v>
      </c>
      <c r="E19" s="185" t="s">
        <v>181</v>
      </c>
      <c r="F19" s="170"/>
    </row>
    <row r="20">
      <c r="A20" s="164"/>
      <c r="B20" s="194" t="s">
        <v>201</v>
      </c>
      <c r="C20" s="177" t="s">
        <v>192</v>
      </c>
      <c r="D20" s="168" t="s">
        <v>528</v>
      </c>
      <c r="E20" s="168" t="s">
        <v>181</v>
      </c>
      <c r="F20" s="170"/>
    </row>
    <row r="21">
      <c r="A21" s="164"/>
      <c r="B21" s="195" t="s">
        <v>203</v>
      </c>
      <c r="C21" s="174" t="s">
        <v>192</v>
      </c>
      <c r="D21" s="185" t="s">
        <v>529</v>
      </c>
      <c r="E21" s="185" t="s">
        <v>181</v>
      </c>
      <c r="F21" s="170"/>
    </row>
    <row r="22">
      <c r="A22" s="164"/>
      <c r="B22" s="194" t="s">
        <v>205</v>
      </c>
      <c r="C22" s="177" t="s">
        <v>192</v>
      </c>
      <c r="D22" s="196" t="s">
        <v>530</v>
      </c>
      <c r="E22" s="168" t="s">
        <v>181</v>
      </c>
      <c r="F22" s="170"/>
    </row>
    <row r="23">
      <c r="A23" s="164"/>
      <c r="B23" s="195" t="s">
        <v>207</v>
      </c>
      <c r="C23" s="174" t="s">
        <v>192</v>
      </c>
      <c r="D23" s="184" t="s">
        <v>704</v>
      </c>
      <c r="E23" s="185" t="s">
        <v>181</v>
      </c>
      <c r="F23" s="170"/>
    </row>
    <row r="24">
      <c r="A24" s="164"/>
      <c r="B24" s="194" t="s">
        <v>209</v>
      </c>
      <c r="C24" s="177" t="s">
        <v>192</v>
      </c>
      <c r="D24" s="192" t="s">
        <v>705</v>
      </c>
      <c r="E24" s="168" t="s">
        <v>181</v>
      </c>
      <c r="F24" s="170"/>
    </row>
    <row r="25">
      <c r="A25" s="164"/>
      <c r="B25" s="195" t="s">
        <v>211</v>
      </c>
      <c r="C25" s="174" t="s">
        <v>192</v>
      </c>
      <c r="D25" s="184" t="s">
        <v>706</v>
      </c>
      <c r="E25" s="185" t="s">
        <v>181</v>
      </c>
      <c r="F25" s="170"/>
    </row>
    <row r="26">
      <c r="A26" s="164"/>
      <c r="B26" s="194" t="s">
        <v>215</v>
      </c>
      <c r="C26" s="177" t="s">
        <v>183</v>
      </c>
      <c r="D26" s="192" t="s">
        <v>707</v>
      </c>
      <c r="E26" s="168" t="s">
        <v>171</v>
      </c>
      <c r="F26" s="170"/>
    </row>
    <row r="27">
      <c r="A27" s="164"/>
      <c r="B27" s="195" t="s">
        <v>78</v>
      </c>
      <c r="C27" s="174" t="s">
        <v>183</v>
      </c>
      <c r="D27" s="190" t="s">
        <v>218</v>
      </c>
      <c r="E27" s="185" t="s">
        <v>171</v>
      </c>
      <c r="F27" s="170"/>
    </row>
    <row r="28">
      <c r="A28" s="164"/>
      <c r="B28" s="194" t="s">
        <v>21</v>
      </c>
      <c r="C28" s="177" t="s">
        <v>19</v>
      </c>
      <c r="D28" s="196" t="s">
        <v>219</v>
      </c>
      <c r="E28" s="168" t="s">
        <v>171</v>
      </c>
      <c r="F28" s="170"/>
    </row>
    <row r="29">
      <c r="A29" s="170"/>
      <c r="B29" s="198" t="s">
        <v>220</v>
      </c>
      <c r="C29" s="199" t="s">
        <v>183</v>
      </c>
      <c r="D29" s="200" t="s">
        <v>708</v>
      </c>
      <c r="E29" s="201" t="s">
        <v>171</v>
      </c>
      <c r="F29" s="170"/>
    </row>
    <row r="30">
      <c r="A30" s="164"/>
      <c r="B30" s="203" t="s">
        <v>222</v>
      </c>
      <c r="C30" s="202" t="s">
        <v>183</v>
      </c>
      <c r="D30" s="204" t="s">
        <v>709</v>
      </c>
      <c r="E30" s="205" t="s">
        <v>171</v>
      </c>
      <c r="F30" s="170"/>
    </row>
    <row r="31">
      <c r="A31" s="170"/>
      <c r="B31" s="170"/>
      <c r="C31" s="170"/>
      <c r="D31" s="170"/>
      <c r="E31" s="170"/>
      <c r="F31" s="170"/>
    </row>
    <row r="32">
      <c r="A32" s="170"/>
      <c r="B32" s="220" t="s">
        <v>256</v>
      </c>
      <c r="C32" s="220" t="s">
        <v>192</v>
      </c>
      <c r="D32" s="221" t="s">
        <v>710</v>
      </c>
      <c r="E32" s="170"/>
      <c r="F32" s="170"/>
    </row>
    <row r="33">
      <c r="A33" s="170"/>
      <c r="B33" s="170"/>
      <c r="C33" s="170"/>
      <c r="D33" s="170"/>
      <c r="E33" s="170"/>
      <c r="F33" s="170"/>
    </row>
    <row r="34">
      <c r="A34" s="170"/>
      <c r="B34" s="170"/>
      <c r="C34" s="170"/>
      <c r="D34" s="170"/>
      <c r="E34" s="170"/>
      <c r="F34" s="170"/>
    </row>
    <row r="35">
      <c r="A35" s="170"/>
      <c r="B35" s="170"/>
      <c r="C35" s="170"/>
      <c r="D35" s="170"/>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sheetData>
  <mergeCells count="1">
    <mergeCell ref="B2:E2"/>
  </mergeCells>
  <dataValidations>
    <dataValidation type="list" allowBlank="1" showErrorMessage="1" sqref="C4:C30">
      <formula1>"Buddy,Hiring Manager,New Hire,PM Team,PM Team &amp; Buddy"</formula1>
    </dataValidation>
    <dataValidation type="list" allowBlank="1" showErrorMessage="1" sqref="E4:E30">
      <formula1>"Backlog,In Progress,Completed"</formula1>
    </dataValidation>
  </dataValidations>
  <hyperlinks>
    <hyperlink r:id="rId1" ref="D5"/>
    <hyperlink r:id="rId2" ref="D6"/>
    <hyperlink r:id="rId3" ref="D7"/>
    <hyperlink r:id="rId4" ref="D9"/>
    <hyperlink r:id="rId5" ref="B11"/>
    <hyperlink r:id="rId6" location="slide=id.g27b04383fa0_0_373" ref="D11"/>
    <hyperlink r:id="rId7" ref="D14"/>
    <hyperlink r:id="rId8" ref="D15"/>
    <hyperlink r:id="rId9" ref="D16"/>
    <hyperlink r:id="rId10" ref="D23"/>
    <hyperlink r:id="rId11" ref="D24"/>
    <hyperlink r:id="rId12" ref="D25"/>
    <hyperlink r:id="rId13" ref="D26"/>
    <hyperlink r:id="rId14" ref="D29"/>
    <hyperlink r:id="rId15" ref="D30"/>
    <hyperlink r:id="rId16" ref="D32"/>
  </hyperlinks>
  <drawing r:id="rId1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43.75"/>
    <col customWidth="1" min="3" max="3" width="17.88"/>
    <col customWidth="1" min="4" max="4" width="71.63"/>
    <col customWidth="1" min="5" max="5" width="13.13"/>
    <col customWidth="1" min="6" max="6" width="3.63"/>
  </cols>
  <sheetData>
    <row r="1">
      <c r="A1" s="157"/>
      <c r="B1" s="157"/>
      <c r="C1" s="157"/>
      <c r="D1" s="157"/>
      <c r="E1" s="157"/>
      <c r="F1" s="158"/>
    </row>
    <row r="2">
      <c r="A2" s="157"/>
      <c r="B2" s="159" t="s">
        <v>711</v>
      </c>
      <c r="C2" s="160"/>
      <c r="D2" s="160"/>
      <c r="E2" s="161"/>
      <c r="F2" s="158"/>
    </row>
    <row r="3">
      <c r="A3" s="162"/>
      <c r="B3" s="163" t="s">
        <v>157</v>
      </c>
      <c r="C3" s="163" t="s">
        <v>158</v>
      </c>
      <c r="D3" s="163" t="s">
        <v>159</v>
      </c>
      <c r="E3" s="163" t="s">
        <v>515</v>
      </c>
      <c r="F3" s="158"/>
    </row>
    <row r="4">
      <c r="A4" s="164"/>
      <c r="B4" s="165" t="s">
        <v>712</v>
      </c>
      <c r="C4" s="166" t="s">
        <v>31</v>
      </c>
      <c r="D4" s="167" t="s">
        <v>163</v>
      </c>
      <c r="E4" s="169" t="s">
        <v>171</v>
      </c>
      <c r="F4" s="170"/>
    </row>
    <row r="5">
      <c r="A5" s="164"/>
      <c r="B5" s="171" t="s">
        <v>713</v>
      </c>
      <c r="C5" s="172" t="s">
        <v>31</v>
      </c>
      <c r="D5" s="173" t="s">
        <v>714</v>
      </c>
      <c r="E5" s="174" t="s">
        <v>171</v>
      </c>
      <c r="F5" s="170"/>
    </row>
    <row r="6">
      <c r="A6" s="164"/>
      <c r="B6" s="165" t="s">
        <v>715</v>
      </c>
      <c r="C6" s="175" t="s">
        <v>31</v>
      </c>
      <c r="D6" s="176" t="s">
        <v>716</v>
      </c>
      <c r="E6" s="177" t="s">
        <v>171</v>
      </c>
      <c r="F6" s="170"/>
    </row>
    <row r="7">
      <c r="A7" s="164"/>
      <c r="B7" s="171" t="s">
        <v>717</v>
      </c>
      <c r="C7" s="172" t="s">
        <v>31</v>
      </c>
      <c r="D7" s="173" t="s">
        <v>718</v>
      </c>
      <c r="E7" s="174" t="s">
        <v>171</v>
      </c>
      <c r="F7" s="170"/>
    </row>
    <row r="8">
      <c r="A8" s="164"/>
      <c r="B8" s="165" t="s">
        <v>719</v>
      </c>
      <c r="C8" s="175" t="s">
        <v>31</v>
      </c>
      <c r="D8" s="176" t="s">
        <v>720</v>
      </c>
      <c r="E8" s="177" t="s">
        <v>171</v>
      </c>
      <c r="F8" s="170"/>
    </row>
    <row r="9">
      <c r="A9" s="164"/>
      <c r="B9" s="509" t="s">
        <v>721</v>
      </c>
      <c r="C9" s="510" t="s">
        <v>31</v>
      </c>
      <c r="D9" s="509" t="s">
        <v>611</v>
      </c>
      <c r="E9" s="186" t="s">
        <v>171</v>
      </c>
      <c r="F9" s="170"/>
    </row>
    <row r="10">
      <c r="A10" s="511"/>
      <c r="B10" s="512" t="s">
        <v>722</v>
      </c>
      <c r="C10" s="513" t="s">
        <v>31</v>
      </c>
      <c r="D10" s="514" t="s">
        <v>723</v>
      </c>
      <c r="E10" s="515"/>
      <c r="F10" s="516"/>
    </row>
    <row r="11">
      <c r="A11" s="164"/>
      <c r="B11" s="183" t="s">
        <v>724</v>
      </c>
      <c r="C11" s="174" t="s">
        <v>31</v>
      </c>
      <c r="D11" s="184" t="s">
        <v>180</v>
      </c>
      <c r="E11" s="185" t="s">
        <v>171</v>
      </c>
      <c r="F11" s="170"/>
    </row>
    <row r="12">
      <c r="A12" s="164"/>
      <c r="B12" s="187" t="s">
        <v>613</v>
      </c>
      <c r="C12" s="177" t="s">
        <v>183</v>
      </c>
      <c r="D12" s="165" t="s">
        <v>725</v>
      </c>
      <c r="E12" s="168" t="s">
        <v>171</v>
      </c>
      <c r="F12" s="170"/>
    </row>
    <row r="13">
      <c r="A13" s="164"/>
      <c r="B13" s="189" t="s">
        <v>185</v>
      </c>
      <c r="C13" s="174" t="s">
        <v>183</v>
      </c>
      <c r="D13" s="190" t="s">
        <v>186</v>
      </c>
      <c r="E13" s="185" t="s">
        <v>171</v>
      </c>
      <c r="F13" s="170"/>
    </row>
    <row r="14">
      <c r="A14" s="164"/>
      <c r="B14" s="191" t="s">
        <v>187</v>
      </c>
      <c r="C14" s="177" t="s">
        <v>31</v>
      </c>
      <c r="D14" s="192" t="s">
        <v>726</v>
      </c>
      <c r="E14" s="168" t="s">
        <v>171</v>
      </c>
      <c r="F14" s="170"/>
    </row>
    <row r="15">
      <c r="A15" s="164"/>
      <c r="B15" s="193" t="s">
        <v>189</v>
      </c>
      <c r="C15" s="174" t="s">
        <v>31</v>
      </c>
      <c r="D15" s="184" t="s">
        <v>190</v>
      </c>
      <c r="E15" s="185" t="s">
        <v>171</v>
      </c>
      <c r="F15" s="170"/>
    </row>
    <row r="16">
      <c r="A16" s="164"/>
      <c r="B16" s="194" t="s">
        <v>191</v>
      </c>
      <c r="C16" s="177" t="s">
        <v>192</v>
      </c>
      <c r="D16" s="192" t="s">
        <v>727</v>
      </c>
      <c r="E16" s="168" t="s">
        <v>171</v>
      </c>
      <c r="F16" s="170"/>
    </row>
    <row r="17">
      <c r="A17" s="164"/>
      <c r="B17" s="195" t="s">
        <v>194</v>
      </c>
      <c r="C17" s="174" t="s">
        <v>31</v>
      </c>
      <c r="D17" s="190" t="s">
        <v>195</v>
      </c>
      <c r="E17" s="185" t="s">
        <v>171</v>
      </c>
      <c r="F17" s="170"/>
    </row>
    <row r="18">
      <c r="A18" s="164"/>
      <c r="B18" s="194" t="s">
        <v>728</v>
      </c>
      <c r="C18" s="177" t="s">
        <v>197</v>
      </c>
      <c r="D18" s="196" t="s">
        <v>198</v>
      </c>
      <c r="E18" s="168" t="s">
        <v>171</v>
      </c>
      <c r="F18" s="170"/>
    </row>
    <row r="19">
      <c r="A19" s="164"/>
      <c r="B19" s="195" t="s">
        <v>729</v>
      </c>
      <c r="C19" s="174" t="s">
        <v>183</v>
      </c>
      <c r="D19" s="517" t="s">
        <v>730</v>
      </c>
      <c r="E19" s="185" t="s">
        <v>171</v>
      </c>
      <c r="F19" s="170"/>
    </row>
    <row r="20">
      <c r="A20" s="164"/>
      <c r="B20" s="194" t="s">
        <v>731</v>
      </c>
      <c r="C20" s="177" t="s">
        <v>31</v>
      </c>
      <c r="D20" s="197" t="s">
        <v>732</v>
      </c>
      <c r="E20" s="168" t="s">
        <v>171</v>
      </c>
      <c r="F20" s="170"/>
    </row>
    <row r="21">
      <c r="A21" s="164"/>
      <c r="B21" s="195" t="s">
        <v>199</v>
      </c>
      <c r="C21" s="174" t="s">
        <v>19</v>
      </c>
      <c r="D21" s="518" t="s">
        <v>733</v>
      </c>
      <c r="E21" s="185" t="s">
        <v>171</v>
      </c>
      <c r="F21" s="170"/>
    </row>
    <row r="22">
      <c r="A22" s="164"/>
      <c r="B22" s="194" t="s">
        <v>201</v>
      </c>
      <c r="C22" s="177" t="s">
        <v>192</v>
      </c>
      <c r="D22" s="166" t="s">
        <v>734</v>
      </c>
      <c r="E22" s="168" t="s">
        <v>171</v>
      </c>
      <c r="F22" s="170"/>
    </row>
    <row r="23">
      <c r="A23" s="164"/>
      <c r="B23" s="195" t="s">
        <v>203</v>
      </c>
      <c r="C23" s="174" t="s">
        <v>192</v>
      </c>
      <c r="D23" s="185" t="s">
        <v>204</v>
      </c>
      <c r="E23" s="185" t="s">
        <v>171</v>
      </c>
      <c r="F23" s="170"/>
    </row>
    <row r="24">
      <c r="A24" s="164"/>
      <c r="B24" s="194" t="s">
        <v>205</v>
      </c>
      <c r="C24" s="177" t="s">
        <v>192</v>
      </c>
      <c r="D24" s="192" t="s">
        <v>735</v>
      </c>
      <c r="E24" s="168" t="s">
        <v>171</v>
      </c>
      <c r="F24" s="170"/>
    </row>
    <row r="25">
      <c r="A25" s="164"/>
      <c r="B25" s="193" t="s">
        <v>207</v>
      </c>
      <c r="C25" s="174" t="s">
        <v>192</v>
      </c>
      <c r="D25" s="184" t="s">
        <v>208</v>
      </c>
      <c r="E25" s="185" t="s">
        <v>171</v>
      </c>
      <c r="F25" s="170"/>
    </row>
    <row r="26">
      <c r="A26" s="164"/>
      <c r="B26" s="194" t="s">
        <v>209</v>
      </c>
      <c r="C26" s="177" t="s">
        <v>192</v>
      </c>
      <c r="D26" s="192" t="s">
        <v>210</v>
      </c>
      <c r="E26" s="168" t="s">
        <v>171</v>
      </c>
      <c r="F26" s="170"/>
    </row>
    <row r="27">
      <c r="A27" s="164"/>
      <c r="B27" s="195" t="s">
        <v>211</v>
      </c>
      <c r="C27" s="174" t="s">
        <v>192</v>
      </c>
      <c r="D27" s="184" t="s">
        <v>212</v>
      </c>
      <c r="E27" s="185" t="s">
        <v>171</v>
      </c>
      <c r="F27" s="170"/>
    </row>
    <row r="28">
      <c r="A28" s="164"/>
      <c r="B28" s="194" t="s">
        <v>736</v>
      </c>
      <c r="C28" s="177" t="s">
        <v>183</v>
      </c>
      <c r="D28" s="192" t="s">
        <v>737</v>
      </c>
      <c r="E28" s="168" t="s">
        <v>171</v>
      </c>
      <c r="F28" s="170"/>
    </row>
    <row r="29">
      <c r="A29" s="164"/>
      <c r="B29" s="195" t="s">
        <v>215</v>
      </c>
      <c r="C29" s="174" t="s">
        <v>183</v>
      </c>
      <c r="D29" s="184" t="s">
        <v>738</v>
      </c>
      <c r="E29" s="185" t="s">
        <v>171</v>
      </c>
      <c r="F29" s="170"/>
    </row>
    <row r="30">
      <c r="A30" s="164"/>
      <c r="B30" s="194" t="s">
        <v>78</v>
      </c>
      <c r="C30" s="177" t="s">
        <v>183</v>
      </c>
      <c r="D30" s="196" t="s">
        <v>218</v>
      </c>
      <c r="E30" s="168" t="s">
        <v>171</v>
      </c>
      <c r="F30" s="170"/>
    </row>
    <row r="31">
      <c r="A31" s="164"/>
      <c r="B31" s="195" t="s">
        <v>21</v>
      </c>
      <c r="C31" s="174" t="s">
        <v>19</v>
      </c>
      <c r="D31" s="190" t="s">
        <v>219</v>
      </c>
      <c r="E31" s="185" t="s">
        <v>171</v>
      </c>
      <c r="F31" s="170"/>
    </row>
    <row r="32">
      <c r="A32" s="170"/>
      <c r="B32" s="194" t="s">
        <v>220</v>
      </c>
      <c r="C32" s="177" t="s">
        <v>183</v>
      </c>
      <c r="D32" s="192" t="s">
        <v>739</v>
      </c>
      <c r="E32" s="168" t="s">
        <v>171</v>
      </c>
      <c r="F32" s="170"/>
    </row>
    <row r="33">
      <c r="A33" s="164"/>
      <c r="B33" s="203" t="s">
        <v>222</v>
      </c>
      <c r="C33" s="202" t="s">
        <v>183</v>
      </c>
      <c r="D33" s="204" t="s">
        <v>740</v>
      </c>
      <c r="E33" s="205" t="s">
        <v>171</v>
      </c>
      <c r="F33" s="170"/>
    </row>
    <row r="34">
      <c r="A34" s="170"/>
      <c r="B34" s="170"/>
      <c r="C34" s="170"/>
      <c r="D34" s="170"/>
      <c r="E34" s="170"/>
      <c r="F34" s="170"/>
    </row>
    <row r="35">
      <c r="A35" s="170"/>
      <c r="B35" s="220" t="s">
        <v>256</v>
      </c>
      <c r="C35" s="220" t="s">
        <v>192</v>
      </c>
      <c r="D35" s="221" t="s">
        <v>741</v>
      </c>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row r="1023">
      <c r="A1023" s="170"/>
      <c r="B1023" s="170"/>
      <c r="C1023" s="170"/>
      <c r="D1023" s="170"/>
      <c r="E1023" s="170"/>
      <c r="F1023" s="170"/>
    </row>
    <row r="1024">
      <c r="A1024" s="170"/>
      <c r="B1024" s="170"/>
      <c r="C1024" s="170"/>
      <c r="D1024" s="170"/>
      <c r="E1024" s="170"/>
      <c r="F1024" s="170"/>
    </row>
  </sheetData>
  <autoFilter ref="$B$3:$E$33"/>
  <mergeCells count="1">
    <mergeCell ref="B2:E2"/>
  </mergeCells>
  <dataValidations>
    <dataValidation type="list" allowBlank="1" showErrorMessage="1" sqref="E4:E33">
      <formula1>"Backlog,In Progress,Blocked,Completed"</formula1>
    </dataValidation>
    <dataValidation type="list" allowBlank="1" showErrorMessage="1" sqref="C4:C33">
      <formula1>"Buddy,Hiring Manager,New Hire,PM Team,PM Team &amp; Buddy"</formula1>
    </dataValidation>
  </dataValidations>
  <hyperlinks>
    <hyperlink r:id="rId1" ref="D5"/>
    <hyperlink r:id="rId2" ref="D6"/>
    <hyperlink r:id="rId3" ref="D7"/>
    <hyperlink r:id="rId4" ref="D8"/>
    <hyperlink r:id="rId5" ref="D10"/>
    <hyperlink r:id="rId6" ref="B11"/>
    <hyperlink r:id="rId7" location="slide=id.g27b04383fa0_0_373" ref="D11"/>
    <hyperlink r:id="rId8" ref="B14"/>
    <hyperlink r:id="rId9" ref="D14"/>
    <hyperlink r:id="rId10" ref="D15"/>
    <hyperlink r:id="rId11" ref="D16"/>
    <hyperlink r:id="rId12" ref="D19"/>
    <hyperlink r:id="rId13" ref="D20"/>
    <hyperlink r:id="rId14" ref="D24"/>
    <hyperlink r:id="rId15" ref="D25"/>
    <hyperlink r:id="rId16" ref="D26"/>
    <hyperlink r:id="rId17" ref="D27"/>
    <hyperlink r:id="rId18" ref="D28"/>
    <hyperlink r:id="rId19" ref="D29"/>
    <hyperlink r:id="rId20" ref="D32"/>
    <hyperlink r:id="rId21" ref="D33"/>
    <hyperlink r:id="rId22" ref="D35"/>
  </hyperlinks>
  <drawing r:id="rId2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39.63"/>
    <col customWidth="1" min="3" max="3" width="17.88"/>
    <col customWidth="1" min="4" max="4" width="71.63"/>
    <col customWidth="1" min="5" max="5" width="13.13"/>
    <col customWidth="1" min="6" max="6" width="64.75"/>
  </cols>
  <sheetData>
    <row r="1">
      <c r="A1" s="157"/>
      <c r="B1" s="157"/>
      <c r="C1" s="157"/>
      <c r="D1" s="157"/>
      <c r="E1" s="157"/>
      <c r="F1" s="158"/>
    </row>
    <row r="2">
      <c r="A2" s="157"/>
      <c r="B2" s="159" t="s">
        <v>711</v>
      </c>
      <c r="C2" s="160"/>
      <c r="D2" s="160"/>
      <c r="E2" s="161"/>
      <c r="F2" s="519"/>
    </row>
    <row r="3">
      <c r="A3" s="162"/>
      <c r="B3" s="163" t="s">
        <v>157</v>
      </c>
      <c r="C3" s="163" t="s">
        <v>158</v>
      </c>
      <c r="D3" s="163" t="s">
        <v>159</v>
      </c>
      <c r="E3" s="163" t="s">
        <v>515</v>
      </c>
      <c r="F3" s="520"/>
    </row>
    <row r="4">
      <c r="A4" s="164"/>
      <c r="B4" s="165" t="s">
        <v>742</v>
      </c>
      <c r="C4" s="166" t="s">
        <v>31</v>
      </c>
      <c r="D4" s="167" t="s">
        <v>163</v>
      </c>
      <c r="E4" s="169" t="s">
        <v>181</v>
      </c>
      <c r="F4" s="521"/>
    </row>
    <row r="5">
      <c r="A5" s="164"/>
      <c r="B5" s="171" t="s">
        <v>743</v>
      </c>
      <c r="C5" s="172" t="s">
        <v>31</v>
      </c>
      <c r="D5" s="173" t="s">
        <v>744</v>
      </c>
      <c r="E5" s="174" t="s">
        <v>181</v>
      </c>
      <c r="F5" s="522"/>
    </row>
    <row r="6">
      <c r="A6" s="164"/>
      <c r="B6" s="165" t="s">
        <v>745</v>
      </c>
      <c r="C6" s="175" t="s">
        <v>31</v>
      </c>
      <c r="D6" s="176" t="s">
        <v>746</v>
      </c>
      <c r="E6" s="177" t="s">
        <v>181</v>
      </c>
      <c r="F6" s="521"/>
    </row>
    <row r="7">
      <c r="A7" s="164"/>
      <c r="B7" s="171" t="s">
        <v>747</v>
      </c>
      <c r="C7" s="172" t="s">
        <v>31</v>
      </c>
      <c r="D7" s="173" t="s">
        <v>748</v>
      </c>
      <c r="E7" s="174" t="s">
        <v>181</v>
      </c>
      <c r="F7" s="522"/>
    </row>
    <row r="8">
      <c r="A8" s="164"/>
      <c r="B8" s="165" t="s">
        <v>749</v>
      </c>
      <c r="C8" s="175" t="s">
        <v>31</v>
      </c>
      <c r="D8" s="165" t="s">
        <v>173</v>
      </c>
      <c r="E8" s="177" t="s">
        <v>171</v>
      </c>
      <c r="F8" s="521"/>
    </row>
    <row r="9">
      <c r="A9" s="164"/>
      <c r="B9" s="171" t="s">
        <v>750</v>
      </c>
      <c r="C9" s="172" t="s">
        <v>31</v>
      </c>
      <c r="D9" s="173" t="s">
        <v>751</v>
      </c>
      <c r="E9" s="174" t="s">
        <v>181</v>
      </c>
      <c r="F9" s="522"/>
    </row>
    <row r="10">
      <c r="A10" s="164"/>
      <c r="B10" s="179" t="s">
        <v>752</v>
      </c>
      <c r="C10" s="180" t="s">
        <v>31</v>
      </c>
      <c r="D10" s="179" t="s">
        <v>611</v>
      </c>
      <c r="E10" s="182" t="s">
        <v>181</v>
      </c>
      <c r="F10" s="521"/>
    </row>
    <row r="11">
      <c r="A11" s="164"/>
      <c r="B11" s="183" t="s">
        <v>753</v>
      </c>
      <c r="C11" s="174" t="s">
        <v>31</v>
      </c>
      <c r="D11" s="184" t="s">
        <v>180</v>
      </c>
      <c r="E11" s="185" t="s">
        <v>171</v>
      </c>
      <c r="F11" s="522"/>
    </row>
    <row r="12">
      <c r="A12" s="164"/>
      <c r="B12" s="187" t="s">
        <v>613</v>
      </c>
      <c r="C12" s="177" t="s">
        <v>183</v>
      </c>
      <c r="D12" s="165" t="s">
        <v>725</v>
      </c>
      <c r="E12" s="168" t="s">
        <v>181</v>
      </c>
      <c r="F12" s="521"/>
    </row>
    <row r="13">
      <c r="A13" s="164"/>
      <c r="B13" s="189" t="s">
        <v>185</v>
      </c>
      <c r="C13" s="174" t="s">
        <v>183</v>
      </c>
      <c r="D13" s="190" t="s">
        <v>186</v>
      </c>
      <c r="E13" s="185" t="s">
        <v>181</v>
      </c>
      <c r="F13" s="522"/>
    </row>
    <row r="14">
      <c r="A14" s="164"/>
      <c r="B14" s="191" t="s">
        <v>187</v>
      </c>
      <c r="C14" s="177" t="s">
        <v>31</v>
      </c>
      <c r="D14" s="192" t="s">
        <v>754</v>
      </c>
      <c r="E14" s="168" t="s">
        <v>181</v>
      </c>
      <c r="F14" s="521"/>
    </row>
    <row r="15">
      <c r="A15" s="164"/>
      <c r="B15" s="193" t="s">
        <v>189</v>
      </c>
      <c r="C15" s="174" t="s">
        <v>31</v>
      </c>
      <c r="D15" s="184" t="s">
        <v>190</v>
      </c>
      <c r="E15" s="185" t="s">
        <v>171</v>
      </c>
      <c r="F15" s="522"/>
    </row>
    <row r="16">
      <c r="A16" s="164"/>
      <c r="B16" s="194" t="s">
        <v>191</v>
      </c>
      <c r="C16" s="177" t="s">
        <v>192</v>
      </c>
      <c r="D16" s="192" t="s">
        <v>755</v>
      </c>
      <c r="E16" s="168" t="s">
        <v>181</v>
      </c>
      <c r="F16" s="523" t="s">
        <v>756</v>
      </c>
    </row>
    <row r="17">
      <c r="A17" s="164"/>
      <c r="B17" s="195" t="s">
        <v>194</v>
      </c>
      <c r="C17" s="174" t="s">
        <v>31</v>
      </c>
      <c r="D17" s="190" t="s">
        <v>195</v>
      </c>
      <c r="E17" s="185" t="s">
        <v>164</v>
      </c>
      <c r="F17" s="524" t="s">
        <v>757</v>
      </c>
    </row>
    <row r="18">
      <c r="A18" s="164"/>
      <c r="B18" s="194" t="s">
        <v>196</v>
      </c>
      <c r="C18" s="177" t="s">
        <v>197</v>
      </c>
      <c r="D18" s="196" t="s">
        <v>198</v>
      </c>
      <c r="E18" s="168" t="s">
        <v>164</v>
      </c>
      <c r="F18" s="523" t="s">
        <v>758</v>
      </c>
    </row>
    <row r="19">
      <c r="A19" s="164"/>
      <c r="B19" s="195" t="s">
        <v>731</v>
      </c>
      <c r="C19" s="174" t="s">
        <v>31</v>
      </c>
      <c r="D19" s="517" t="s">
        <v>759</v>
      </c>
      <c r="E19" s="185" t="s">
        <v>171</v>
      </c>
      <c r="F19" s="522"/>
    </row>
    <row r="20">
      <c r="A20" s="164"/>
      <c r="B20" s="194" t="s">
        <v>199</v>
      </c>
      <c r="C20" s="177" t="s">
        <v>19</v>
      </c>
      <c r="D20" s="196" t="s">
        <v>200</v>
      </c>
      <c r="E20" s="168" t="s">
        <v>181</v>
      </c>
      <c r="F20" s="521"/>
    </row>
    <row r="21">
      <c r="A21" s="164"/>
      <c r="B21" s="195" t="s">
        <v>201</v>
      </c>
      <c r="C21" s="174" t="s">
        <v>192</v>
      </c>
      <c r="D21" s="525" t="s">
        <v>734</v>
      </c>
      <c r="E21" s="185" t="s">
        <v>181</v>
      </c>
      <c r="F21" s="524" t="s">
        <v>760</v>
      </c>
    </row>
    <row r="22">
      <c r="A22" s="164"/>
      <c r="B22" s="194" t="s">
        <v>203</v>
      </c>
      <c r="C22" s="177" t="s">
        <v>192</v>
      </c>
      <c r="D22" s="168" t="s">
        <v>204</v>
      </c>
      <c r="E22" s="168" t="s">
        <v>181</v>
      </c>
      <c r="F22" s="523" t="s">
        <v>761</v>
      </c>
    </row>
    <row r="23">
      <c r="A23" s="164"/>
      <c r="B23" s="195" t="s">
        <v>205</v>
      </c>
      <c r="C23" s="174" t="s">
        <v>192</v>
      </c>
      <c r="D23" s="184" t="s">
        <v>762</v>
      </c>
      <c r="E23" s="185" t="s">
        <v>181</v>
      </c>
      <c r="F23" s="526"/>
    </row>
    <row r="24">
      <c r="A24" s="164"/>
      <c r="B24" s="527" t="s">
        <v>207</v>
      </c>
      <c r="C24" s="177" t="s">
        <v>192</v>
      </c>
      <c r="D24" s="192" t="s">
        <v>208</v>
      </c>
      <c r="E24" s="168" t="s">
        <v>181</v>
      </c>
      <c r="F24" s="528"/>
    </row>
    <row r="25">
      <c r="A25" s="164"/>
      <c r="B25" s="195" t="s">
        <v>209</v>
      </c>
      <c r="C25" s="174" t="s">
        <v>192</v>
      </c>
      <c r="D25" s="184" t="s">
        <v>210</v>
      </c>
      <c r="E25" s="185" t="s">
        <v>181</v>
      </c>
      <c r="F25" s="526"/>
    </row>
    <row r="26">
      <c r="A26" s="164"/>
      <c r="B26" s="194" t="s">
        <v>211</v>
      </c>
      <c r="C26" s="177" t="s">
        <v>192</v>
      </c>
      <c r="D26" s="192" t="s">
        <v>212</v>
      </c>
      <c r="E26" s="168" t="s">
        <v>181</v>
      </c>
      <c r="F26" s="528"/>
    </row>
    <row r="27">
      <c r="A27" s="164"/>
      <c r="B27" s="195" t="s">
        <v>736</v>
      </c>
      <c r="C27" s="174" t="s">
        <v>183</v>
      </c>
      <c r="D27" s="190" t="s">
        <v>214</v>
      </c>
      <c r="E27" s="185" t="s">
        <v>164</v>
      </c>
      <c r="F27" s="522"/>
    </row>
    <row r="28">
      <c r="A28" s="164"/>
      <c r="B28" s="194" t="s">
        <v>215</v>
      </c>
      <c r="C28" s="177" t="s">
        <v>183</v>
      </c>
      <c r="D28" s="192" t="s">
        <v>763</v>
      </c>
      <c r="E28" s="168" t="s">
        <v>171</v>
      </c>
      <c r="F28" s="521"/>
    </row>
    <row r="29">
      <c r="A29" s="164"/>
      <c r="B29" s="195" t="s">
        <v>78</v>
      </c>
      <c r="C29" s="174" t="s">
        <v>183</v>
      </c>
      <c r="D29" s="190" t="s">
        <v>218</v>
      </c>
      <c r="E29" s="185" t="s">
        <v>171</v>
      </c>
      <c r="F29" s="522"/>
    </row>
    <row r="30">
      <c r="A30" s="164"/>
      <c r="B30" s="194" t="s">
        <v>21</v>
      </c>
      <c r="C30" s="177" t="s">
        <v>19</v>
      </c>
      <c r="D30" s="196" t="s">
        <v>219</v>
      </c>
      <c r="E30" s="168" t="s">
        <v>171</v>
      </c>
      <c r="F30" s="521"/>
    </row>
    <row r="31">
      <c r="A31" s="164"/>
      <c r="B31" s="195" t="s">
        <v>764</v>
      </c>
      <c r="C31" s="174" t="s">
        <v>31</v>
      </c>
      <c r="D31" s="184" t="s">
        <v>765</v>
      </c>
      <c r="E31" s="185" t="s">
        <v>171</v>
      </c>
      <c r="F31" s="522"/>
    </row>
    <row r="32">
      <c r="A32" s="170"/>
      <c r="B32" s="194" t="s">
        <v>220</v>
      </c>
      <c r="C32" s="177" t="s">
        <v>183</v>
      </c>
      <c r="D32" s="192" t="s">
        <v>766</v>
      </c>
      <c r="E32" s="168" t="s">
        <v>171</v>
      </c>
      <c r="F32" s="170"/>
    </row>
    <row r="33">
      <c r="A33" s="164"/>
      <c r="B33" s="203" t="s">
        <v>222</v>
      </c>
      <c r="C33" s="202" t="s">
        <v>183</v>
      </c>
      <c r="D33" s="204" t="s">
        <v>767</v>
      </c>
      <c r="E33" s="205" t="s">
        <v>171</v>
      </c>
      <c r="F33" s="170"/>
    </row>
    <row r="34">
      <c r="A34" s="170"/>
      <c r="B34" s="170"/>
      <c r="C34" s="170"/>
      <c r="D34" s="170"/>
      <c r="E34" s="170"/>
      <c r="F34" s="170"/>
    </row>
    <row r="35">
      <c r="A35" s="170"/>
      <c r="B35" s="220" t="s">
        <v>256</v>
      </c>
      <c r="C35" s="220" t="s">
        <v>192</v>
      </c>
      <c r="D35" s="221" t="s">
        <v>768</v>
      </c>
      <c r="E35" s="170"/>
      <c r="F35" s="170"/>
    </row>
    <row r="36">
      <c r="A36" s="170"/>
      <c r="B36" s="170"/>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row r="1023">
      <c r="A1023" s="170"/>
      <c r="B1023" s="170"/>
      <c r="C1023" s="170"/>
      <c r="D1023" s="170"/>
      <c r="E1023" s="170"/>
      <c r="F1023" s="170"/>
    </row>
    <row r="1024">
      <c r="A1024" s="170"/>
      <c r="B1024" s="170"/>
      <c r="C1024" s="170"/>
      <c r="D1024" s="170"/>
      <c r="E1024" s="170"/>
      <c r="F1024" s="170"/>
    </row>
  </sheetData>
  <autoFilter ref="$B$3:$E$33"/>
  <mergeCells count="1">
    <mergeCell ref="B2:E2"/>
  </mergeCells>
  <dataValidations>
    <dataValidation type="list" allowBlank="1" showErrorMessage="1" sqref="E4:E33">
      <formula1>"Backlog,In Progress,Blocked,Completed"</formula1>
    </dataValidation>
    <dataValidation type="list" allowBlank="1" showErrorMessage="1" sqref="C4:C33">
      <formula1>"Buddy,Hiring Manager,New Hire,PM Team,PM Team &amp; Buddy"</formula1>
    </dataValidation>
  </dataValidations>
  <hyperlinks>
    <hyperlink r:id="rId1" ref="D5"/>
    <hyperlink r:id="rId2" ref="D6"/>
    <hyperlink r:id="rId3" ref="D7"/>
    <hyperlink r:id="rId4" ref="D9"/>
    <hyperlink r:id="rId5" ref="B11"/>
    <hyperlink r:id="rId6" location="slide=id.g27b04383fa0_0_373" ref="D11"/>
    <hyperlink r:id="rId7" ref="B14"/>
    <hyperlink r:id="rId8" ref="D14"/>
    <hyperlink r:id="rId9" ref="D15"/>
    <hyperlink r:id="rId10" ref="D16"/>
    <hyperlink r:id="rId11" ref="F16"/>
    <hyperlink r:id="rId12" ref="F17"/>
    <hyperlink r:id="rId13" ref="F18"/>
    <hyperlink r:id="rId14" ref="D19"/>
    <hyperlink r:id="rId15" ref="F21"/>
    <hyperlink r:id="rId16" ref="F22"/>
    <hyperlink r:id="rId17" ref="D23"/>
    <hyperlink r:id="rId18" ref="D24"/>
    <hyperlink r:id="rId19" ref="D25"/>
    <hyperlink r:id="rId20" ref="D26"/>
    <hyperlink r:id="rId21" ref="D28"/>
    <hyperlink r:id="rId22" ref="D31"/>
    <hyperlink r:id="rId23" ref="D32"/>
    <hyperlink r:id="rId24" ref="D33"/>
    <hyperlink r:id="rId25" ref="D35"/>
  </hyperlinks>
  <drawing r:id="rId2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3.38"/>
    <col customWidth="1" min="2" max="2" width="39.63"/>
    <col customWidth="1" min="3" max="3" width="17.88"/>
    <col customWidth="1" min="4" max="4" width="71.63"/>
    <col customWidth="1" min="5" max="5" width="13.13"/>
    <col customWidth="1" min="6" max="6" width="53.0"/>
  </cols>
  <sheetData>
    <row r="1">
      <c r="A1" s="157"/>
      <c r="B1" s="157"/>
      <c r="C1" s="157"/>
      <c r="D1" s="157"/>
      <c r="E1" s="157"/>
      <c r="F1" s="158"/>
    </row>
    <row r="2">
      <c r="A2" s="157"/>
      <c r="B2" s="159" t="s">
        <v>769</v>
      </c>
      <c r="C2" s="160"/>
      <c r="D2" s="160"/>
      <c r="E2" s="160"/>
      <c r="F2" s="161"/>
    </row>
    <row r="3">
      <c r="A3" s="162"/>
      <c r="B3" s="163" t="s">
        <v>157</v>
      </c>
      <c r="C3" s="163" t="s">
        <v>158</v>
      </c>
      <c r="D3" s="163" t="s">
        <v>159</v>
      </c>
      <c r="E3" s="163" t="s">
        <v>515</v>
      </c>
      <c r="F3" s="163" t="s">
        <v>160</v>
      </c>
    </row>
    <row r="4">
      <c r="A4" s="164"/>
      <c r="B4" s="165" t="s">
        <v>770</v>
      </c>
      <c r="C4" s="166" t="s">
        <v>31</v>
      </c>
      <c r="D4" s="167" t="s">
        <v>163</v>
      </c>
      <c r="E4" s="169" t="s">
        <v>181</v>
      </c>
      <c r="F4" s="167"/>
    </row>
    <row r="5">
      <c r="A5" s="164"/>
      <c r="B5" s="171" t="s">
        <v>771</v>
      </c>
      <c r="C5" s="172" t="s">
        <v>31</v>
      </c>
      <c r="D5" s="173" t="s">
        <v>772</v>
      </c>
      <c r="E5" s="174" t="s">
        <v>181</v>
      </c>
      <c r="F5" s="171"/>
    </row>
    <row r="6">
      <c r="A6" s="164"/>
      <c r="B6" s="165" t="s">
        <v>773</v>
      </c>
      <c r="C6" s="175" t="s">
        <v>31</v>
      </c>
      <c r="D6" s="176" t="s">
        <v>774</v>
      </c>
      <c r="E6" s="177" t="s">
        <v>171</v>
      </c>
      <c r="F6" s="165"/>
    </row>
    <row r="7">
      <c r="A7" s="164"/>
      <c r="B7" s="171" t="s">
        <v>775</v>
      </c>
      <c r="C7" s="172" t="s">
        <v>31</v>
      </c>
      <c r="D7" s="173" t="s">
        <v>776</v>
      </c>
      <c r="E7" s="174" t="s">
        <v>181</v>
      </c>
      <c r="F7" s="171"/>
    </row>
    <row r="8">
      <c r="A8" s="164"/>
      <c r="B8" s="165" t="s">
        <v>777</v>
      </c>
      <c r="C8" s="175" t="s">
        <v>31</v>
      </c>
      <c r="D8" s="165" t="s">
        <v>173</v>
      </c>
      <c r="E8" s="177" t="s">
        <v>181</v>
      </c>
      <c r="F8" s="165"/>
    </row>
    <row r="9">
      <c r="A9" s="164"/>
      <c r="B9" s="171" t="s">
        <v>778</v>
      </c>
      <c r="C9" s="172" t="s">
        <v>31</v>
      </c>
      <c r="D9" s="173" t="s">
        <v>779</v>
      </c>
      <c r="E9" s="174" t="s">
        <v>171</v>
      </c>
      <c r="F9" s="171"/>
    </row>
    <row r="10">
      <c r="A10" s="164"/>
      <c r="B10" s="179" t="s">
        <v>780</v>
      </c>
      <c r="C10" s="180" t="s">
        <v>31</v>
      </c>
      <c r="D10" s="179" t="s">
        <v>611</v>
      </c>
      <c r="E10" s="182" t="s">
        <v>171</v>
      </c>
      <c r="F10" s="179"/>
    </row>
    <row r="11">
      <c r="A11" s="164"/>
      <c r="B11" s="183" t="s">
        <v>781</v>
      </c>
      <c r="C11" s="174" t="s">
        <v>31</v>
      </c>
      <c r="D11" s="184" t="s">
        <v>180</v>
      </c>
      <c r="E11" s="185" t="s">
        <v>171</v>
      </c>
      <c r="F11" s="190"/>
    </row>
    <row r="12">
      <c r="A12" s="164"/>
      <c r="B12" s="187" t="s">
        <v>782</v>
      </c>
      <c r="C12" s="177" t="s">
        <v>183</v>
      </c>
      <c r="D12" s="167" t="s">
        <v>783</v>
      </c>
      <c r="E12" s="168" t="s">
        <v>181</v>
      </c>
      <c r="F12" s="167"/>
    </row>
    <row r="13">
      <c r="A13" s="164"/>
      <c r="B13" s="189" t="s">
        <v>613</v>
      </c>
      <c r="C13" s="174" t="s">
        <v>183</v>
      </c>
      <c r="D13" s="171" t="s">
        <v>784</v>
      </c>
      <c r="E13" s="185" t="s">
        <v>181</v>
      </c>
      <c r="F13" s="171"/>
    </row>
    <row r="14">
      <c r="A14" s="164"/>
      <c r="B14" s="187" t="s">
        <v>185</v>
      </c>
      <c r="C14" s="177" t="s">
        <v>183</v>
      </c>
      <c r="D14" s="196" t="s">
        <v>615</v>
      </c>
      <c r="E14" s="168" t="s">
        <v>181</v>
      </c>
      <c r="F14" s="196"/>
    </row>
    <row r="15">
      <c r="A15" s="164"/>
      <c r="B15" s="451" t="s">
        <v>187</v>
      </c>
      <c r="C15" s="174" t="s">
        <v>31</v>
      </c>
      <c r="D15" s="184" t="s">
        <v>785</v>
      </c>
      <c r="E15" s="185" t="s">
        <v>181</v>
      </c>
      <c r="F15" s="190"/>
    </row>
    <row r="16">
      <c r="A16" s="164"/>
      <c r="B16" s="527" t="s">
        <v>189</v>
      </c>
      <c r="C16" s="177" t="s">
        <v>31</v>
      </c>
      <c r="D16" s="192" t="s">
        <v>190</v>
      </c>
      <c r="E16" s="168" t="s">
        <v>171</v>
      </c>
      <c r="F16" s="196"/>
    </row>
    <row r="17">
      <c r="A17" s="164"/>
      <c r="B17" s="195" t="s">
        <v>191</v>
      </c>
      <c r="C17" s="174" t="s">
        <v>192</v>
      </c>
      <c r="D17" s="184" t="s">
        <v>786</v>
      </c>
      <c r="E17" s="185" t="s">
        <v>181</v>
      </c>
      <c r="F17" s="190"/>
    </row>
    <row r="18">
      <c r="A18" s="164"/>
      <c r="B18" s="194" t="s">
        <v>194</v>
      </c>
      <c r="C18" s="177" t="s">
        <v>31</v>
      </c>
      <c r="D18" s="196" t="s">
        <v>195</v>
      </c>
      <c r="E18" s="168" t="s">
        <v>181</v>
      </c>
      <c r="F18" s="196"/>
    </row>
    <row r="19">
      <c r="A19" s="164"/>
      <c r="B19" s="195" t="s">
        <v>703</v>
      </c>
      <c r="C19" s="174" t="s">
        <v>197</v>
      </c>
      <c r="D19" s="190" t="s">
        <v>787</v>
      </c>
      <c r="E19" s="185" t="s">
        <v>181</v>
      </c>
      <c r="F19" s="190"/>
    </row>
    <row r="20">
      <c r="A20" s="164"/>
      <c r="B20" s="194" t="s">
        <v>199</v>
      </c>
      <c r="C20" s="177" t="s">
        <v>19</v>
      </c>
      <c r="D20" s="196" t="s">
        <v>200</v>
      </c>
      <c r="E20" s="168" t="s">
        <v>181</v>
      </c>
      <c r="F20" s="529" t="s">
        <v>788</v>
      </c>
    </row>
    <row r="21">
      <c r="A21" s="164"/>
      <c r="B21" s="195" t="s">
        <v>201</v>
      </c>
      <c r="C21" s="174" t="s">
        <v>192</v>
      </c>
      <c r="D21" s="525" t="s">
        <v>734</v>
      </c>
      <c r="E21" s="185" t="s">
        <v>181</v>
      </c>
      <c r="F21" s="525"/>
    </row>
    <row r="22">
      <c r="A22" s="164"/>
      <c r="B22" s="194" t="s">
        <v>203</v>
      </c>
      <c r="C22" s="177" t="s">
        <v>192</v>
      </c>
      <c r="D22" s="168" t="s">
        <v>204</v>
      </c>
      <c r="E22" s="168" t="s">
        <v>181</v>
      </c>
      <c r="F22" s="168"/>
    </row>
    <row r="23">
      <c r="A23" s="164"/>
      <c r="B23" s="195" t="s">
        <v>205</v>
      </c>
      <c r="C23" s="174" t="s">
        <v>192</v>
      </c>
      <c r="D23" s="184" t="s">
        <v>789</v>
      </c>
      <c r="E23" s="185" t="s">
        <v>181</v>
      </c>
      <c r="F23" s="190" t="s">
        <v>788</v>
      </c>
    </row>
    <row r="24">
      <c r="A24" s="164"/>
      <c r="B24" s="527" t="s">
        <v>207</v>
      </c>
      <c r="C24" s="177" t="s">
        <v>192</v>
      </c>
      <c r="D24" s="192" t="s">
        <v>208</v>
      </c>
      <c r="E24" s="168" t="s">
        <v>181</v>
      </c>
      <c r="F24" s="196" t="s">
        <v>788</v>
      </c>
    </row>
    <row r="25">
      <c r="A25" s="164"/>
      <c r="B25" s="195" t="s">
        <v>209</v>
      </c>
      <c r="C25" s="174" t="s">
        <v>192</v>
      </c>
      <c r="D25" s="184" t="s">
        <v>210</v>
      </c>
      <c r="E25" s="185" t="s">
        <v>181</v>
      </c>
      <c r="F25" s="190"/>
    </row>
    <row r="26">
      <c r="A26" s="164"/>
      <c r="B26" s="194" t="s">
        <v>211</v>
      </c>
      <c r="C26" s="177" t="s">
        <v>192</v>
      </c>
      <c r="D26" s="192" t="s">
        <v>212</v>
      </c>
      <c r="E26" s="168" t="s">
        <v>181</v>
      </c>
      <c r="F26" s="196" t="s">
        <v>790</v>
      </c>
    </row>
    <row r="27">
      <c r="A27" s="164"/>
      <c r="B27" s="195" t="s">
        <v>215</v>
      </c>
      <c r="C27" s="174" t="s">
        <v>183</v>
      </c>
      <c r="D27" s="184" t="s">
        <v>791</v>
      </c>
      <c r="E27" s="185" t="s">
        <v>181</v>
      </c>
      <c r="F27" s="190"/>
    </row>
    <row r="28">
      <c r="A28" s="164"/>
      <c r="B28" s="194" t="s">
        <v>78</v>
      </c>
      <c r="C28" s="177" t="s">
        <v>183</v>
      </c>
      <c r="D28" s="196" t="s">
        <v>218</v>
      </c>
      <c r="E28" s="168" t="s">
        <v>181</v>
      </c>
      <c r="F28" s="196"/>
    </row>
    <row r="29">
      <c r="A29" s="164"/>
      <c r="B29" s="195" t="s">
        <v>21</v>
      </c>
      <c r="C29" s="174" t="s">
        <v>19</v>
      </c>
      <c r="D29" s="190" t="s">
        <v>219</v>
      </c>
      <c r="E29" s="185" t="s">
        <v>181</v>
      </c>
      <c r="F29" s="190"/>
    </row>
    <row r="30">
      <c r="A30" s="170"/>
      <c r="B30" s="198" t="s">
        <v>220</v>
      </c>
      <c r="C30" s="199" t="s">
        <v>183</v>
      </c>
      <c r="D30" s="200" t="s">
        <v>792</v>
      </c>
      <c r="E30" s="201" t="s">
        <v>171</v>
      </c>
      <c r="F30" s="530"/>
    </row>
    <row r="31">
      <c r="A31" s="164"/>
      <c r="B31" s="203" t="s">
        <v>222</v>
      </c>
      <c r="C31" s="202" t="s">
        <v>183</v>
      </c>
      <c r="D31" s="204" t="s">
        <v>793</v>
      </c>
      <c r="E31" s="205" t="s">
        <v>171</v>
      </c>
      <c r="F31" s="531"/>
    </row>
    <row r="32">
      <c r="A32" s="170"/>
      <c r="B32" s="170"/>
      <c r="C32" s="170"/>
      <c r="D32" s="170"/>
      <c r="E32" s="170"/>
      <c r="F32" s="170"/>
    </row>
    <row r="33">
      <c r="A33" s="170"/>
      <c r="B33" s="220" t="s">
        <v>256</v>
      </c>
      <c r="C33" s="220" t="s">
        <v>192</v>
      </c>
      <c r="D33" s="221" t="s">
        <v>794</v>
      </c>
      <c r="E33" s="170"/>
      <c r="F33" s="170"/>
    </row>
    <row r="34">
      <c r="A34" s="170"/>
      <c r="B34" s="170"/>
      <c r="C34" s="170"/>
      <c r="D34" s="170"/>
      <c r="E34" s="170"/>
      <c r="F34" s="170"/>
    </row>
    <row r="35">
      <c r="A35" s="170"/>
      <c r="B35" s="164" t="s">
        <v>795</v>
      </c>
      <c r="C35" s="170"/>
      <c r="D35" s="170"/>
      <c r="E35" s="164" t="s">
        <v>796</v>
      </c>
      <c r="F35" s="170"/>
    </row>
    <row r="36">
      <c r="A36" s="170"/>
      <c r="B36" s="164"/>
      <c r="C36" s="170"/>
      <c r="D36" s="170"/>
      <c r="E36" s="170"/>
      <c r="F36" s="170"/>
    </row>
    <row r="37">
      <c r="A37" s="170"/>
      <c r="B37" s="170"/>
      <c r="C37" s="170"/>
      <c r="D37" s="170"/>
      <c r="E37" s="170"/>
      <c r="F37" s="170"/>
    </row>
    <row r="38">
      <c r="A38" s="170"/>
      <c r="B38" s="170"/>
      <c r="C38" s="170"/>
      <c r="D38" s="170"/>
      <c r="E38" s="170"/>
      <c r="F38" s="170"/>
    </row>
    <row r="39">
      <c r="A39" s="170"/>
      <c r="B39" s="170"/>
      <c r="C39" s="170"/>
      <c r="D39" s="170"/>
      <c r="E39" s="170"/>
      <c r="F39" s="170"/>
    </row>
    <row r="40">
      <c r="A40" s="170"/>
      <c r="B40" s="170"/>
      <c r="C40" s="170"/>
      <c r="D40" s="170"/>
      <c r="E40" s="170"/>
      <c r="F40" s="170"/>
    </row>
    <row r="41">
      <c r="A41" s="170"/>
      <c r="B41" s="170"/>
      <c r="C41" s="170"/>
      <c r="D41" s="170"/>
      <c r="E41" s="170"/>
      <c r="F41" s="170"/>
    </row>
    <row r="42">
      <c r="A42" s="170"/>
      <c r="B42" s="170"/>
      <c r="C42" s="170"/>
      <c r="D42" s="170"/>
      <c r="E42" s="170"/>
      <c r="F42" s="170"/>
    </row>
    <row r="43">
      <c r="A43" s="170"/>
      <c r="B43" s="170"/>
      <c r="C43" s="170"/>
      <c r="D43" s="170"/>
      <c r="E43" s="170"/>
      <c r="F43" s="170"/>
    </row>
    <row r="44">
      <c r="A44" s="170"/>
      <c r="B44" s="170"/>
      <c r="C44" s="170"/>
      <c r="D44" s="170"/>
      <c r="E44" s="170"/>
      <c r="F44" s="170"/>
    </row>
    <row r="45">
      <c r="A45" s="170"/>
      <c r="B45" s="170"/>
      <c r="C45" s="170"/>
      <c r="D45" s="170"/>
      <c r="E45" s="170"/>
      <c r="F45" s="170"/>
    </row>
    <row r="46">
      <c r="A46" s="170"/>
      <c r="B46" s="170"/>
      <c r="C46" s="170"/>
      <c r="D46" s="170"/>
      <c r="E46" s="170"/>
      <c r="F46" s="170"/>
    </row>
    <row r="47">
      <c r="A47" s="170"/>
      <c r="B47" s="170"/>
      <c r="C47" s="170"/>
      <c r="D47" s="170"/>
      <c r="E47" s="170"/>
      <c r="F47" s="170"/>
    </row>
    <row r="48">
      <c r="A48" s="170"/>
      <c r="B48" s="170"/>
      <c r="C48" s="170"/>
      <c r="D48" s="170"/>
      <c r="E48" s="170"/>
      <c r="F48" s="170"/>
    </row>
    <row r="49">
      <c r="A49" s="170"/>
      <c r="B49" s="170"/>
      <c r="C49" s="170"/>
      <c r="D49" s="170"/>
      <c r="E49" s="170"/>
      <c r="F49" s="170"/>
    </row>
    <row r="50">
      <c r="A50" s="170"/>
      <c r="B50" s="170"/>
      <c r="C50" s="170"/>
      <c r="D50" s="170"/>
      <c r="E50" s="170"/>
      <c r="F50" s="170"/>
    </row>
    <row r="51">
      <c r="A51" s="170"/>
      <c r="B51" s="170"/>
      <c r="C51" s="170"/>
      <c r="D51" s="170"/>
      <c r="E51" s="170"/>
      <c r="F51" s="170"/>
    </row>
    <row r="52">
      <c r="A52" s="170"/>
      <c r="B52" s="170"/>
      <c r="C52" s="170"/>
      <c r="D52" s="170"/>
      <c r="E52" s="170"/>
      <c r="F52" s="170"/>
    </row>
    <row r="53">
      <c r="A53" s="170"/>
      <c r="B53" s="170"/>
      <c r="C53" s="170"/>
      <c r="D53" s="170"/>
      <c r="E53" s="170"/>
      <c r="F53" s="170"/>
    </row>
    <row r="54">
      <c r="A54" s="170"/>
      <c r="B54" s="170"/>
      <c r="C54" s="170"/>
      <c r="D54" s="170"/>
      <c r="E54" s="170"/>
      <c r="F54" s="170"/>
    </row>
    <row r="55">
      <c r="A55" s="170"/>
      <c r="B55" s="170"/>
      <c r="C55" s="170"/>
      <c r="D55" s="170"/>
      <c r="E55" s="170"/>
      <c r="F55" s="170"/>
    </row>
    <row r="56">
      <c r="A56" s="170"/>
      <c r="B56" s="170"/>
      <c r="C56" s="170"/>
      <c r="D56" s="170"/>
      <c r="E56" s="170"/>
      <c r="F56" s="170"/>
    </row>
    <row r="57">
      <c r="A57" s="170"/>
      <c r="B57" s="170"/>
      <c r="C57" s="170"/>
      <c r="D57" s="170"/>
      <c r="E57" s="170"/>
      <c r="F57" s="170"/>
    </row>
    <row r="58">
      <c r="A58" s="170"/>
      <c r="B58" s="170"/>
      <c r="C58" s="170"/>
      <c r="D58" s="170"/>
      <c r="E58" s="170"/>
      <c r="F58" s="170"/>
    </row>
    <row r="59">
      <c r="A59" s="170"/>
      <c r="B59" s="170"/>
      <c r="C59" s="170"/>
      <c r="D59" s="170"/>
      <c r="E59" s="170"/>
      <c r="F59" s="170"/>
    </row>
    <row r="60">
      <c r="A60" s="170"/>
      <c r="B60" s="170"/>
      <c r="C60" s="170"/>
      <c r="D60" s="170"/>
      <c r="E60" s="170"/>
      <c r="F60" s="170"/>
    </row>
    <row r="61">
      <c r="A61" s="170"/>
      <c r="B61" s="170"/>
      <c r="C61" s="170"/>
      <c r="D61" s="170"/>
      <c r="E61" s="170"/>
      <c r="F61" s="170"/>
    </row>
    <row r="62">
      <c r="A62" s="170"/>
      <c r="B62" s="170"/>
      <c r="C62" s="170"/>
      <c r="D62" s="170"/>
      <c r="E62" s="170"/>
      <c r="F62" s="170"/>
    </row>
    <row r="63">
      <c r="A63" s="170"/>
      <c r="B63" s="170"/>
      <c r="C63" s="170"/>
      <c r="D63" s="170"/>
      <c r="E63" s="170"/>
      <c r="F63" s="170"/>
    </row>
    <row r="64">
      <c r="A64" s="170"/>
      <c r="B64" s="170"/>
      <c r="C64" s="170"/>
      <c r="D64" s="170"/>
      <c r="E64" s="170"/>
      <c r="F64" s="170"/>
    </row>
    <row r="65">
      <c r="A65" s="170"/>
      <c r="B65" s="170"/>
      <c r="C65" s="170"/>
      <c r="D65" s="170"/>
      <c r="E65" s="170"/>
      <c r="F65" s="170"/>
    </row>
    <row r="66">
      <c r="A66" s="170"/>
      <c r="B66" s="170"/>
      <c r="C66" s="170"/>
      <c r="D66" s="170"/>
      <c r="E66" s="170"/>
      <c r="F66" s="170"/>
    </row>
    <row r="67">
      <c r="A67" s="170"/>
      <c r="B67" s="170"/>
      <c r="C67" s="170"/>
      <c r="D67" s="170"/>
      <c r="E67" s="170"/>
      <c r="F67" s="170"/>
    </row>
    <row r="68">
      <c r="A68" s="170"/>
      <c r="B68" s="170"/>
      <c r="C68" s="170"/>
      <c r="D68" s="170"/>
      <c r="E68" s="170"/>
      <c r="F68" s="170"/>
    </row>
    <row r="69">
      <c r="A69" s="170"/>
      <c r="B69" s="170"/>
      <c r="C69" s="170"/>
      <c r="D69" s="170"/>
      <c r="E69" s="170"/>
      <c r="F69" s="170"/>
    </row>
    <row r="70">
      <c r="A70" s="170"/>
      <c r="B70" s="170"/>
      <c r="C70" s="170"/>
      <c r="D70" s="170"/>
      <c r="E70" s="170"/>
      <c r="F70" s="170"/>
    </row>
    <row r="71">
      <c r="A71" s="170"/>
      <c r="B71" s="170"/>
      <c r="C71" s="170"/>
      <c r="D71" s="170"/>
      <c r="E71" s="170"/>
      <c r="F71" s="170"/>
    </row>
    <row r="72">
      <c r="A72" s="170"/>
      <c r="B72" s="170"/>
      <c r="C72" s="170"/>
      <c r="D72" s="170"/>
      <c r="E72" s="170"/>
      <c r="F72" s="170"/>
    </row>
    <row r="73">
      <c r="A73" s="170"/>
      <c r="B73" s="170"/>
      <c r="C73" s="170"/>
      <c r="D73" s="170"/>
      <c r="E73" s="170"/>
      <c r="F73" s="170"/>
    </row>
    <row r="74">
      <c r="A74" s="170"/>
      <c r="B74" s="170"/>
      <c r="C74" s="170"/>
      <c r="D74" s="170"/>
      <c r="E74" s="170"/>
      <c r="F74" s="170"/>
    </row>
    <row r="75">
      <c r="A75" s="170"/>
      <c r="B75" s="170"/>
      <c r="C75" s="170"/>
      <c r="D75" s="170"/>
      <c r="E75" s="170"/>
      <c r="F75" s="170"/>
    </row>
    <row r="76">
      <c r="A76" s="170"/>
      <c r="B76" s="170"/>
      <c r="C76" s="170"/>
      <c r="D76" s="170"/>
      <c r="E76" s="170"/>
      <c r="F76" s="170"/>
    </row>
    <row r="77">
      <c r="A77" s="170"/>
      <c r="B77" s="170"/>
      <c r="C77" s="170"/>
      <c r="D77" s="170"/>
      <c r="E77" s="170"/>
      <c r="F77" s="170"/>
    </row>
    <row r="78">
      <c r="A78" s="170"/>
      <c r="B78" s="170"/>
      <c r="C78" s="170"/>
      <c r="D78" s="170"/>
      <c r="E78" s="170"/>
      <c r="F78" s="170"/>
    </row>
    <row r="79">
      <c r="A79" s="170"/>
      <c r="B79" s="170"/>
      <c r="C79" s="170"/>
      <c r="D79" s="170"/>
      <c r="E79" s="170"/>
      <c r="F79" s="170"/>
    </row>
    <row r="80">
      <c r="A80" s="170"/>
      <c r="B80" s="170"/>
      <c r="C80" s="170"/>
      <c r="D80" s="170"/>
      <c r="E80" s="170"/>
      <c r="F80" s="170"/>
    </row>
    <row r="81">
      <c r="A81" s="170"/>
      <c r="B81" s="170"/>
      <c r="C81" s="170"/>
      <c r="D81" s="170"/>
      <c r="E81" s="170"/>
      <c r="F81" s="170"/>
    </row>
    <row r="82">
      <c r="A82" s="170"/>
      <c r="B82" s="170"/>
      <c r="C82" s="170"/>
      <c r="D82" s="170"/>
      <c r="E82" s="170"/>
      <c r="F82" s="170"/>
    </row>
    <row r="83">
      <c r="A83" s="170"/>
      <c r="B83" s="170"/>
      <c r="C83" s="170"/>
      <c r="D83" s="170"/>
      <c r="E83" s="170"/>
      <c r="F83" s="170"/>
    </row>
    <row r="84">
      <c r="A84" s="170"/>
      <c r="B84" s="170"/>
      <c r="C84" s="170"/>
      <c r="D84" s="170"/>
      <c r="E84" s="170"/>
      <c r="F84" s="170"/>
    </row>
    <row r="85">
      <c r="A85" s="170"/>
      <c r="B85" s="170"/>
      <c r="C85" s="170"/>
      <c r="D85" s="170"/>
      <c r="E85" s="170"/>
      <c r="F85" s="170"/>
    </row>
    <row r="86">
      <c r="A86" s="170"/>
      <c r="B86" s="170"/>
      <c r="C86" s="170"/>
      <c r="D86" s="170"/>
      <c r="E86" s="170"/>
      <c r="F86" s="170"/>
    </row>
    <row r="87">
      <c r="A87" s="170"/>
      <c r="B87" s="170"/>
      <c r="C87" s="170"/>
      <c r="D87" s="170"/>
      <c r="E87" s="170"/>
      <c r="F87" s="170"/>
    </row>
    <row r="88">
      <c r="A88" s="170"/>
      <c r="B88" s="170"/>
      <c r="C88" s="170"/>
      <c r="D88" s="170"/>
      <c r="E88" s="170"/>
      <c r="F88" s="170"/>
    </row>
    <row r="89">
      <c r="A89" s="170"/>
      <c r="B89" s="170"/>
      <c r="C89" s="170"/>
      <c r="D89" s="170"/>
      <c r="E89" s="170"/>
      <c r="F89" s="170"/>
    </row>
    <row r="90">
      <c r="A90" s="170"/>
      <c r="B90" s="170"/>
      <c r="C90" s="170"/>
      <c r="D90" s="170"/>
      <c r="E90" s="170"/>
      <c r="F90" s="170"/>
    </row>
    <row r="91">
      <c r="A91" s="170"/>
      <c r="B91" s="170"/>
      <c r="C91" s="170"/>
      <c r="D91" s="170"/>
      <c r="E91" s="170"/>
      <c r="F91" s="170"/>
    </row>
    <row r="92">
      <c r="A92" s="170"/>
      <c r="B92" s="170"/>
      <c r="C92" s="170"/>
      <c r="D92" s="170"/>
      <c r="E92" s="170"/>
      <c r="F92" s="170"/>
    </row>
    <row r="93">
      <c r="A93" s="170"/>
      <c r="B93" s="170"/>
      <c r="C93" s="170"/>
      <c r="D93" s="170"/>
      <c r="E93" s="170"/>
      <c r="F93" s="170"/>
    </row>
    <row r="94">
      <c r="A94" s="170"/>
      <c r="B94" s="170"/>
      <c r="C94" s="170"/>
      <c r="D94" s="170"/>
      <c r="E94" s="170"/>
      <c r="F94" s="170"/>
    </row>
    <row r="95">
      <c r="A95" s="170"/>
      <c r="B95" s="170"/>
      <c r="C95" s="170"/>
      <c r="D95" s="170"/>
      <c r="E95" s="170"/>
      <c r="F95" s="170"/>
    </row>
    <row r="96">
      <c r="A96" s="170"/>
      <c r="B96" s="170"/>
      <c r="C96" s="170"/>
      <c r="D96" s="170"/>
      <c r="E96" s="170"/>
      <c r="F96" s="170"/>
    </row>
    <row r="97">
      <c r="A97" s="170"/>
      <c r="B97" s="170"/>
      <c r="C97" s="170"/>
      <c r="D97" s="170"/>
      <c r="E97" s="170"/>
      <c r="F97" s="170"/>
    </row>
    <row r="98">
      <c r="A98" s="170"/>
      <c r="B98" s="170"/>
      <c r="C98" s="170"/>
      <c r="D98" s="170"/>
      <c r="E98" s="170"/>
      <c r="F98" s="170"/>
    </row>
    <row r="99">
      <c r="A99" s="170"/>
      <c r="B99" s="170"/>
      <c r="C99" s="170"/>
      <c r="D99" s="170"/>
      <c r="E99" s="170"/>
      <c r="F99" s="170"/>
    </row>
    <row r="100">
      <c r="A100" s="170"/>
      <c r="B100" s="170"/>
      <c r="C100" s="170"/>
      <c r="D100" s="170"/>
      <c r="E100" s="170"/>
      <c r="F100" s="170"/>
    </row>
    <row r="101">
      <c r="A101" s="170"/>
      <c r="B101" s="170"/>
      <c r="C101" s="170"/>
      <c r="D101" s="170"/>
      <c r="E101" s="170"/>
      <c r="F101" s="170"/>
    </row>
    <row r="102">
      <c r="A102" s="170"/>
      <c r="B102" s="170"/>
      <c r="C102" s="170"/>
      <c r="D102" s="170"/>
      <c r="E102" s="170"/>
      <c r="F102" s="170"/>
    </row>
    <row r="103">
      <c r="A103" s="170"/>
      <c r="B103" s="170"/>
      <c r="C103" s="170"/>
      <c r="D103" s="170"/>
      <c r="E103" s="170"/>
      <c r="F103" s="170"/>
    </row>
    <row r="104">
      <c r="A104" s="170"/>
      <c r="B104" s="170"/>
      <c r="C104" s="170"/>
      <c r="D104" s="170"/>
      <c r="E104" s="170"/>
      <c r="F104" s="170"/>
    </row>
    <row r="105">
      <c r="A105" s="170"/>
      <c r="B105" s="170"/>
      <c r="C105" s="170"/>
      <c r="D105" s="170"/>
      <c r="E105" s="170"/>
      <c r="F105" s="170"/>
    </row>
    <row r="106">
      <c r="A106" s="170"/>
      <c r="B106" s="170"/>
      <c r="C106" s="170"/>
      <c r="D106" s="170"/>
      <c r="E106" s="170"/>
      <c r="F106" s="170"/>
    </row>
    <row r="107">
      <c r="A107" s="170"/>
      <c r="B107" s="170"/>
      <c r="C107" s="170"/>
      <c r="D107" s="170"/>
      <c r="E107" s="170"/>
      <c r="F107" s="170"/>
    </row>
    <row r="108">
      <c r="A108" s="170"/>
      <c r="B108" s="170"/>
      <c r="C108" s="170"/>
      <c r="D108" s="170"/>
      <c r="E108" s="170"/>
      <c r="F108" s="170"/>
    </row>
    <row r="109">
      <c r="A109" s="170"/>
      <c r="B109" s="170"/>
      <c r="C109" s="170"/>
      <c r="D109" s="170"/>
      <c r="E109" s="170"/>
      <c r="F109" s="170"/>
    </row>
    <row r="110">
      <c r="A110" s="170"/>
      <c r="B110" s="170"/>
      <c r="C110" s="170"/>
      <c r="D110" s="170"/>
      <c r="E110" s="170"/>
      <c r="F110" s="170"/>
    </row>
    <row r="111">
      <c r="A111" s="170"/>
      <c r="B111" s="170"/>
      <c r="C111" s="170"/>
      <c r="D111" s="170"/>
      <c r="E111" s="170"/>
      <c r="F111" s="170"/>
    </row>
    <row r="112">
      <c r="A112" s="170"/>
      <c r="B112" s="170"/>
      <c r="C112" s="170"/>
      <c r="D112" s="170"/>
      <c r="E112" s="170"/>
      <c r="F112" s="170"/>
    </row>
    <row r="113">
      <c r="A113" s="170"/>
      <c r="B113" s="170"/>
      <c r="C113" s="170"/>
      <c r="D113" s="170"/>
      <c r="E113" s="170"/>
      <c r="F113" s="170"/>
    </row>
    <row r="114">
      <c r="A114" s="170"/>
      <c r="B114" s="170"/>
      <c r="C114" s="170"/>
      <c r="D114" s="170"/>
      <c r="E114" s="170"/>
      <c r="F114" s="170"/>
    </row>
    <row r="115">
      <c r="A115" s="170"/>
      <c r="B115" s="170"/>
      <c r="C115" s="170"/>
      <c r="D115" s="170"/>
      <c r="E115" s="170"/>
      <c r="F115" s="170"/>
    </row>
    <row r="116">
      <c r="A116" s="170"/>
      <c r="B116" s="170"/>
      <c r="C116" s="170"/>
      <c r="D116" s="170"/>
      <c r="E116" s="170"/>
      <c r="F116" s="170"/>
    </row>
    <row r="117">
      <c r="A117" s="170"/>
      <c r="B117" s="170"/>
      <c r="C117" s="170"/>
      <c r="D117" s="170"/>
      <c r="E117" s="170"/>
      <c r="F117" s="170"/>
    </row>
    <row r="118">
      <c r="A118" s="170"/>
      <c r="B118" s="170"/>
      <c r="C118" s="170"/>
      <c r="D118" s="170"/>
      <c r="E118" s="170"/>
      <c r="F118" s="170"/>
    </row>
    <row r="119">
      <c r="A119" s="170"/>
      <c r="B119" s="170"/>
      <c r="C119" s="170"/>
      <c r="D119" s="170"/>
      <c r="E119" s="170"/>
      <c r="F119" s="170"/>
    </row>
    <row r="120">
      <c r="A120" s="170"/>
      <c r="B120" s="170"/>
      <c r="C120" s="170"/>
      <c r="D120" s="170"/>
      <c r="E120" s="170"/>
      <c r="F120" s="170"/>
    </row>
    <row r="121">
      <c r="A121" s="170"/>
      <c r="B121" s="170"/>
      <c r="C121" s="170"/>
      <c r="D121" s="170"/>
      <c r="E121" s="170"/>
      <c r="F121" s="170"/>
    </row>
    <row r="122">
      <c r="A122" s="170"/>
      <c r="B122" s="170"/>
      <c r="C122" s="170"/>
      <c r="D122" s="170"/>
      <c r="E122" s="170"/>
      <c r="F122" s="170"/>
    </row>
    <row r="123">
      <c r="A123" s="170"/>
      <c r="B123" s="170"/>
      <c r="C123" s="170"/>
      <c r="D123" s="170"/>
      <c r="E123" s="170"/>
      <c r="F123" s="170"/>
    </row>
    <row r="124">
      <c r="A124" s="170"/>
      <c r="B124" s="170"/>
      <c r="C124" s="170"/>
      <c r="D124" s="170"/>
      <c r="E124" s="170"/>
      <c r="F124" s="170"/>
    </row>
    <row r="125">
      <c r="A125" s="170"/>
      <c r="B125" s="170"/>
      <c r="C125" s="170"/>
      <c r="D125" s="170"/>
      <c r="E125" s="170"/>
      <c r="F125" s="170"/>
    </row>
    <row r="126">
      <c r="A126" s="170"/>
      <c r="B126" s="170"/>
      <c r="C126" s="170"/>
      <c r="D126" s="170"/>
      <c r="E126" s="170"/>
      <c r="F126" s="170"/>
    </row>
    <row r="127">
      <c r="A127" s="170"/>
      <c r="B127" s="170"/>
      <c r="C127" s="170"/>
      <c r="D127" s="170"/>
      <c r="E127" s="170"/>
      <c r="F127" s="170"/>
    </row>
    <row r="128">
      <c r="A128" s="170"/>
      <c r="B128" s="170"/>
      <c r="C128" s="170"/>
      <c r="D128" s="170"/>
      <c r="E128" s="170"/>
      <c r="F128" s="170"/>
    </row>
    <row r="129">
      <c r="A129" s="170"/>
      <c r="B129" s="170"/>
      <c r="C129" s="170"/>
      <c r="D129" s="170"/>
      <c r="E129" s="170"/>
      <c r="F129" s="170"/>
    </row>
    <row r="130">
      <c r="A130" s="170"/>
      <c r="B130" s="170"/>
      <c r="C130" s="170"/>
      <c r="D130" s="170"/>
      <c r="E130" s="170"/>
      <c r="F130" s="170"/>
    </row>
    <row r="131">
      <c r="A131" s="170"/>
      <c r="B131" s="170"/>
      <c r="C131" s="170"/>
      <c r="D131" s="170"/>
      <c r="E131" s="170"/>
      <c r="F131" s="170"/>
    </row>
    <row r="132">
      <c r="A132" s="170"/>
      <c r="B132" s="170"/>
      <c r="C132" s="170"/>
      <c r="D132" s="170"/>
      <c r="E132" s="170"/>
      <c r="F132" s="170"/>
    </row>
    <row r="133">
      <c r="A133" s="170"/>
      <c r="B133" s="170"/>
      <c r="C133" s="170"/>
      <c r="D133" s="170"/>
      <c r="E133" s="170"/>
      <c r="F133" s="170"/>
    </row>
    <row r="134">
      <c r="A134" s="170"/>
      <c r="B134" s="170"/>
      <c r="C134" s="170"/>
      <c r="D134" s="170"/>
      <c r="E134" s="170"/>
      <c r="F134" s="170"/>
    </row>
    <row r="135">
      <c r="A135" s="170"/>
      <c r="B135" s="170"/>
      <c r="C135" s="170"/>
      <c r="D135" s="170"/>
      <c r="E135" s="170"/>
      <c r="F135" s="170"/>
    </row>
    <row r="136">
      <c r="A136" s="170"/>
      <c r="B136" s="170"/>
      <c r="C136" s="170"/>
      <c r="D136" s="170"/>
      <c r="E136" s="170"/>
      <c r="F136" s="170"/>
    </row>
    <row r="137">
      <c r="A137" s="170"/>
      <c r="B137" s="170"/>
      <c r="C137" s="170"/>
      <c r="D137" s="170"/>
      <c r="E137" s="170"/>
      <c r="F137" s="170"/>
    </row>
    <row r="138">
      <c r="A138" s="170"/>
      <c r="B138" s="170"/>
      <c r="C138" s="170"/>
      <c r="D138" s="170"/>
      <c r="E138" s="170"/>
      <c r="F138" s="170"/>
    </row>
    <row r="139">
      <c r="A139" s="170"/>
      <c r="B139" s="170"/>
      <c r="C139" s="170"/>
      <c r="D139" s="170"/>
      <c r="E139" s="170"/>
      <c r="F139" s="170"/>
    </row>
    <row r="140">
      <c r="A140" s="170"/>
      <c r="B140" s="170"/>
      <c r="C140" s="170"/>
      <c r="D140" s="170"/>
      <c r="E140" s="170"/>
      <c r="F140" s="170"/>
    </row>
    <row r="141">
      <c r="A141" s="170"/>
      <c r="B141" s="170"/>
      <c r="C141" s="170"/>
      <c r="D141" s="170"/>
      <c r="E141" s="170"/>
      <c r="F141" s="170"/>
    </row>
    <row r="142">
      <c r="A142" s="170"/>
      <c r="B142" s="170"/>
      <c r="C142" s="170"/>
      <c r="D142" s="170"/>
      <c r="E142" s="170"/>
      <c r="F142" s="170"/>
    </row>
    <row r="143">
      <c r="A143" s="170"/>
      <c r="B143" s="170"/>
      <c r="C143" s="170"/>
      <c r="D143" s="170"/>
      <c r="E143" s="170"/>
      <c r="F143" s="170"/>
    </row>
    <row r="144">
      <c r="A144" s="170"/>
      <c r="B144" s="170"/>
      <c r="C144" s="170"/>
      <c r="D144" s="170"/>
      <c r="E144" s="170"/>
      <c r="F144" s="170"/>
    </row>
    <row r="145">
      <c r="A145" s="170"/>
      <c r="B145" s="170"/>
      <c r="C145" s="170"/>
      <c r="D145" s="170"/>
      <c r="E145" s="170"/>
      <c r="F145" s="170"/>
    </row>
    <row r="146">
      <c r="A146" s="170"/>
      <c r="B146" s="170"/>
      <c r="C146" s="170"/>
      <c r="D146" s="170"/>
      <c r="E146" s="170"/>
      <c r="F146" s="170"/>
    </row>
    <row r="147">
      <c r="A147" s="170"/>
      <c r="B147" s="170"/>
      <c r="C147" s="170"/>
      <c r="D147" s="170"/>
      <c r="E147" s="170"/>
      <c r="F147" s="170"/>
    </row>
    <row r="148">
      <c r="A148" s="170"/>
      <c r="B148" s="170"/>
      <c r="C148" s="170"/>
      <c r="D148" s="170"/>
      <c r="E148" s="170"/>
      <c r="F148" s="170"/>
    </row>
    <row r="149">
      <c r="A149" s="170"/>
      <c r="B149" s="170"/>
      <c r="C149" s="170"/>
      <c r="D149" s="170"/>
      <c r="E149" s="170"/>
      <c r="F149" s="170"/>
    </row>
    <row r="150">
      <c r="A150" s="170"/>
      <c r="B150" s="170"/>
      <c r="C150" s="170"/>
      <c r="D150" s="170"/>
      <c r="E150" s="170"/>
      <c r="F150" s="170"/>
    </row>
    <row r="151">
      <c r="A151" s="170"/>
      <c r="B151" s="170"/>
      <c r="C151" s="170"/>
      <c r="D151" s="170"/>
      <c r="E151" s="170"/>
      <c r="F151" s="170"/>
    </row>
    <row r="152">
      <c r="A152" s="170"/>
      <c r="B152" s="170"/>
      <c r="C152" s="170"/>
      <c r="D152" s="170"/>
      <c r="E152" s="170"/>
      <c r="F152" s="170"/>
    </row>
    <row r="153">
      <c r="A153" s="170"/>
      <c r="B153" s="170"/>
      <c r="C153" s="170"/>
      <c r="D153" s="170"/>
      <c r="E153" s="170"/>
      <c r="F153" s="170"/>
    </row>
    <row r="154">
      <c r="A154" s="170"/>
      <c r="B154" s="170"/>
      <c r="C154" s="170"/>
      <c r="D154" s="170"/>
      <c r="E154" s="170"/>
      <c r="F154" s="170"/>
    </row>
    <row r="155">
      <c r="A155" s="170"/>
      <c r="B155" s="170"/>
      <c r="C155" s="170"/>
      <c r="D155" s="170"/>
      <c r="E155" s="170"/>
      <c r="F155" s="170"/>
    </row>
    <row r="156">
      <c r="A156" s="170"/>
      <c r="B156" s="170"/>
      <c r="C156" s="170"/>
      <c r="D156" s="170"/>
      <c r="E156" s="170"/>
      <c r="F156" s="170"/>
    </row>
    <row r="157">
      <c r="A157" s="170"/>
      <c r="B157" s="170"/>
      <c r="C157" s="170"/>
      <c r="D157" s="170"/>
      <c r="E157" s="170"/>
      <c r="F157" s="170"/>
    </row>
    <row r="158">
      <c r="A158" s="170"/>
      <c r="B158" s="170"/>
      <c r="C158" s="170"/>
      <c r="D158" s="170"/>
      <c r="E158" s="170"/>
      <c r="F158" s="170"/>
    </row>
    <row r="159">
      <c r="A159" s="170"/>
      <c r="B159" s="170"/>
      <c r="C159" s="170"/>
      <c r="D159" s="170"/>
      <c r="E159" s="170"/>
      <c r="F159" s="170"/>
    </row>
    <row r="160">
      <c r="A160" s="170"/>
      <c r="B160" s="170"/>
      <c r="C160" s="170"/>
      <c r="D160" s="170"/>
      <c r="E160" s="170"/>
      <c r="F160" s="170"/>
    </row>
    <row r="161">
      <c r="A161" s="170"/>
      <c r="B161" s="170"/>
      <c r="C161" s="170"/>
      <c r="D161" s="170"/>
      <c r="E161" s="170"/>
      <c r="F161" s="170"/>
    </row>
    <row r="162">
      <c r="A162" s="170"/>
      <c r="B162" s="170"/>
      <c r="C162" s="170"/>
      <c r="D162" s="170"/>
      <c r="E162" s="170"/>
      <c r="F162" s="170"/>
    </row>
    <row r="163">
      <c r="A163" s="170"/>
      <c r="B163" s="170"/>
      <c r="C163" s="170"/>
      <c r="D163" s="170"/>
      <c r="E163" s="170"/>
      <c r="F163" s="170"/>
    </row>
    <row r="164">
      <c r="A164" s="170"/>
      <c r="B164" s="170"/>
      <c r="C164" s="170"/>
      <c r="D164" s="170"/>
      <c r="E164" s="170"/>
      <c r="F164" s="170"/>
    </row>
    <row r="165">
      <c r="A165" s="170"/>
      <c r="B165" s="170"/>
      <c r="C165" s="170"/>
      <c r="D165" s="170"/>
      <c r="E165" s="170"/>
      <c r="F165" s="170"/>
    </row>
    <row r="166">
      <c r="A166" s="170"/>
      <c r="B166" s="170"/>
      <c r="C166" s="170"/>
      <c r="D166" s="170"/>
      <c r="E166" s="170"/>
      <c r="F166" s="170"/>
    </row>
    <row r="167">
      <c r="A167" s="170"/>
      <c r="B167" s="170"/>
      <c r="C167" s="170"/>
      <c r="D167" s="170"/>
      <c r="E167" s="170"/>
      <c r="F167" s="170"/>
    </row>
    <row r="168">
      <c r="A168" s="170"/>
      <c r="B168" s="170"/>
      <c r="C168" s="170"/>
      <c r="D168" s="170"/>
      <c r="E168" s="170"/>
      <c r="F168" s="170"/>
    </row>
    <row r="169">
      <c r="A169" s="170"/>
      <c r="B169" s="170"/>
      <c r="C169" s="170"/>
      <c r="D169" s="170"/>
      <c r="E169" s="170"/>
      <c r="F169" s="170"/>
    </row>
    <row r="170">
      <c r="A170" s="170"/>
      <c r="B170" s="170"/>
      <c r="C170" s="170"/>
      <c r="D170" s="170"/>
      <c r="E170" s="170"/>
      <c r="F170" s="170"/>
    </row>
    <row r="171">
      <c r="A171" s="170"/>
      <c r="B171" s="170"/>
      <c r="C171" s="170"/>
      <c r="D171" s="170"/>
      <c r="E171" s="170"/>
      <c r="F171" s="170"/>
    </row>
    <row r="172">
      <c r="A172" s="170"/>
      <c r="B172" s="170"/>
      <c r="C172" s="170"/>
      <c r="D172" s="170"/>
      <c r="E172" s="170"/>
      <c r="F172" s="170"/>
    </row>
    <row r="173">
      <c r="A173" s="170"/>
      <c r="B173" s="170"/>
      <c r="C173" s="170"/>
      <c r="D173" s="170"/>
      <c r="E173" s="170"/>
      <c r="F173" s="170"/>
    </row>
    <row r="174">
      <c r="A174" s="170"/>
      <c r="B174" s="170"/>
      <c r="C174" s="170"/>
      <c r="D174" s="170"/>
      <c r="E174" s="170"/>
      <c r="F174" s="170"/>
    </row>
    <row r="175">
      <c r="A175" s="170"/>
      <c r="B175" s="170"/>
      <c r="C175" s="170"/>
      <c r="D175" s="170"/>
      <c r="E175" s="170"/>
      <c r="F175" s="170"/>
    </row>
    <row r="176">
      <c r="A176" s="170"/>
      <c r="B176" s="170"/>
      <c r="C176" s="170"/>
      <c r="D176" s="170"/>
      <c r="E176" s="170"/>
      <c r="F176" s="170"/>
    </row>
    <row r="177">
      <c r="A177" s="170"/>
      <c r="B177" s="170"/>
      <c r="C177" s="170"/>
      <c r="D177" s="170"/>
      <c r="E177" s="170"/>
      <c r="F177" s="170"/>
    </row>
    <row r="178">
      <c r="A178" s="170"/>
      <c r="B178" s="170"/>
      <c r="C178" s="170"/>
      <c r="D178" s="170"/>
      <c r="E178" s="170"/>
      <c r="F178" s="170"/>
    </row>
    <row r="179">
      <c r="A179" s="170"/>
      <c r="B179" s="170"/>
      <c r="C179" s="170"/>
      <c r="D179" s="170"/>
      <c r="E179" s="170"/>
      <c r="F179" s="170"/>
    </row>
    <row r="180">
      <c r="A180" s="170"/>
      <c r="B180" s="170"/>
      <c r="C180" s="170"/>
      <c r="D180" s="170"/>
      <c r="E180" s="170"/>
      <c r="F180" s="170"/>
    </row>
    <row r="181">
      <c r="A181" s="170"/>
      <c r="B181" s="170"/>
      <c r="C181" s="170"/>
      <c r="D181" s="170"/>
      <c r="E181" s="170"/>
      <c r="F181" s="170"/>
    </row>
    <row r="182">
      <c r="A182" s="170"/>
      <c r="B182" s="170"/>
      <c r="C182" s="170"/>
      <c r="D182" s="170"/>
      <c r="E182" s="170"/>
      <c r="F182" s="170"/>
    </row>
    <row r="183">
      <c r="A183" s="170"/>
      <c r="B183" s="170"/>
      <c r="C183" s="170"/>
      <c r="D183" s="170"/>
      <c r="E183" s="170"/>
      <c r="F183" s="170"/>
    </row>
    <row r="184">
      <c r="A184" s="170"/>
      <c r="B184" s="170"/>
      <c r="C184" s="170"/>
      <c r="D184" s="170"/>
      <c r="E184" s="170"/>
      <c r="F184" s="170"/>
    </row>
    <row r="185">
      <c r="A185" s="170"/>
      <c r="B185" s="170"/>
      <c r="C185" s="170"/>
      <c r="D185" s="170"/>
      <c r="E185" s="170"/>
      <c r="F185" s="170"/>
    </row>
    <row r="186">
      <c r="A186" s="170"/>
      <c r="B186" s="170"/>
      <c r="C186" s="170"/>
      <c r="D186" s="170"/>
      <c r="E186" s="170"/>
      <c r="F186" s="170"/>
    </row>
    <row r="187">
      <c r="A187" s="170"/>
      <c r="B187" s="170"/>
      <c r="C187" s="170"/>
      <c r="D187" s="170"/>
      <c r="E187" s="170"/>
      <c r="F187" s="170"/>
    </row>
    <row r="188">
      <c r="A188" s="170"/>
      <c r="B188" s="170"/>
      <c r="C188" s="170"/>
      <c r="D188" s="170"/>
      <c r="E188" s="170"/>
      <c r="F188" s="170"/>
    </row>
    <row r="189">
      <c r="A189" s="170"/>
      <c r="B189" s="170"/>
      <c r="C189" s="170"/>
      <c r="D189" s="170"/>
      <c r="E189" s="170"/>
      <c r="F189" s="170"/>
    </row>
    <row r="190">
      <c r="A190" s="170"/>
      <c r="B190" s="170"/>
      <c r="C190" s="170"/>
      <c r="D190" s="170"/>
      <c r="E190" s="170"/>
      <c r="F190" s="170"/>
    </row>
    <row r="191">
      <c r="A191" s="170"/>
      <c r="B191" s="170"/>
      <c r="C191" s="170"/>
      <c r="D191" s="170"/>
      <c r="E191" s="170"/>
      <c r="F191" s="170"/>
    </row>
    <row r="192">
      <c r="A192" s="170"/>
      <c r="B192" s="170"/>
      <c r="C192" s="170"/>
      <c r="D192" s="170"/>
      <c r="E192" s="170"/>
      <c r="F192" s="170"/>
    </row>
    <row r="193">
      <c r="A193" s="170"/>
      <c r="B193" s="170"/>
      <c r="C193" s="170"/>
      <c r="D193" s="170"/>
      <c r="E193" s="170"/>
      <c r="F193" s="170"/>
    </row>
    <row r="194">
      <c r="A194" s="170"/>
      <c r="B194" s="170"/>
      <c r="C194" s="170"/>
      <c r="D194" s="170"/>
      <c r="E194" s="170"/>
      <c r="F194" s="170"/>
    </row>
    <row r="195">
      <c r="A195" s="170"/>
      <c r="B195" s="170"/>
      <c r="C195" s="170"/>
      <c r="D195" s="170"/>
      <c r="E195" s="170"/>
      <c r="F195" s="170"/>
    </row>
    <row r="196">
      <c r="A196" s="170"/>
      <c r="B196" s="170"/>
      <c r="C196" s="170"/>
      <c r="D196" s="170"/>
      <c r="E196" s="170"/>
      <c r="F196" s="170"/>
    </row>
    <row r="197">
      <c r="A197" s="170"/>
      <c r="B197" s="170"/>
      <c r="C197" s="170"/>
      <c r="D197" s="170"/>
      <c r="E197" s="170"/>
      <c r="F197" s="170"/>
    </row>
    <row r="198">
      <c r="A198" s="170"/>
      <c r="B198" s="170"/>
      <c r="C198" s="170"/>
      <c r="D198" s="170"/>
      <c r="E198" s="170"/>
      <c r="F198" s="170"/>
    </row>
    <row r="199">
      <c r="A199" s="170"/>
      <c r="B199" s="170"/>
      <c r="C199" s="170"/>
      <c r="D199" s="170"/>
      <c r="E199" s="170"/>
      <c r="F199" s="170"/>
    </row>
    <row r="200">
      <c r="A200" s="170"/>
      <c r="B200" s="170"/>
      <c r="C200" s="170"/>
      <c r="D200" s="170"/>
      <c r="E200" s="170"/>
      <c r="F200" s="170"/>
    </row>
    <row r="201">
      <c r="A201" s="170"/>
      <c r="B201" s="170"/>
      <c r="C201" s="170"/>
      <c r="D201" s="170"/>
      <c r="E201" s="170"/>
      <c r="F201" s="170"/>
    </row>
    <row r="202">
      <c r="A202" s="170"/>
      <c r="B202" s="170"/>
      <c r="C202" s="170"/>
      <c r="D202" s="170"/>
      <c r="E202" s="170"/>
      <c r="F202" s="170"/>
    </row>
    <row r="203">
      <c r="A203" s="170"/>
      <c r="B203" s="170"/>
      <c r="C203" s="170"/>
      <c r="D203" s="170"/>
      <c r="E203" s="170"/>
      <c r="F203" s="170"/>
    </row>
    <row r="204">
      <c r="A204" s="170"/>
      <c r="B204" s="170"/>
      <c r="C204" s="170"/>
      <c r="D204" s="170"/>
      <c r="E204" s="170"/>
      <c r="F204" s="170"/>
    </row>
    <row r="205">
      <c r="A205" s="170"/>
      <c r="B205" s="170"/>
      <c r="C205" s="170"/>
      <c r="D205" s="170"/>
      <c r="E205" s="170"/>
      <c r="F205" s="170"/>
    </row>
    <row r="206">
      <c r="A206" s="170"/>
      <c r="B206" s="170"/>
      <c r="C206" s="170"/>
      <c r="D206" s="170"/>
      <c r="E206" s="170"/>
      <c r="F206" s="170"/>
    </row>
    <row r="207">
      <c r="A207" s="170"/>
      <c r="B207" s="170"/>
      <c r="C207" s="170"/>
      <c r="D207" s="170"/>
      <c r="E207" s="170"/>
      <c r="F207" s="170"/>
    </row>
    <row r="208">
      <c r="A208" s="170"/>
      <c r="B208" s="170"/>
      <c r="C208" s="170"/>
      <c r="D208" s="170"/>
      <c r="E208" s="170"/>
      <c r="F208" s="170"/>
    </row>
    <row r="209">
      <c r="A209" s="170"/>
      <c r="B209" s="170"/>
      <c r="C209" s="170"/>
      <c r="D209" s="170"/>
      <c r="E209" s="170"/>
      <c r="F209" s="170"/>
    </row>
    <row r="210">
      <c r="A210" s="170"/>
      <c r="B210" s="170"/>
      <c r="C210" s="170"/>
      <c r="D210" s="170"/>
      <c r="E210" s="170"/>
      <c r="F210" s="170"/>
    </row>
    <row r="211">
      <c r="A211" s="170"/>
      <c r="B211" s="170"/>
      <c r="C211" s="170"/>
      <c r="D211" s="170"/>
      <c r="E211" s="170"/>
      <c r="F211" s="170"/>
    </row>
    <row r="212">
      <c r="A212" s="170"/>
      <c r="B212" s="170"/>
      <c r="C212" s="170"/>
      <c r="D212" s="170"/>
      <c r="E212" s="170"/>
      <c r="F212" s="170"/>
    </row>
    <row r="213">
      <c r="A213" s="170"/>
      <c r="B213" s="170"/>
      <c r="C213" s="170"/>
      <c r="D213" s="170"/>
      <c r="E213" s="170"/>
      <c r="F213" s="170"/>
    </row>
    <row r="214">
      <c r="A214" s="170"/>
      <c r="B214" s="170"/>
      <c r="C214" s="170"/>
      <c r="D214" s="170"/>
      <c r="E214" s="170"/>
      <c r="F214" s="170"/>
    </row>
    <row r="215">
      <c r="A215" s="170"/>
      <c r="B215" s="170"/>
      <c r="C215" s="170"/>
      <c r="D215" s="170"/>
      <c r="E215" s="170"/>
      <c r="F215" s="170"/>
    </row>
    <row r="216">
      <c r="A216" s="170"/>
      <c r="B216" s="170"/>
      <c r="C216" s="170"/>
      <c r="D216" s="170"/>
      <c r="E216" s="170"/>
      <c r="F216" s="170"/>
    </row>
    <row r="217">
      <c r="A217" s="170"/>
      <c r="B217" s="170"/>
      <c r="C217" s="170"/>
      <c r="D217" s="170"/>
      <c r="E217" s="170"/>
      <c r="F217" s="170"/>
    </row>
    <row r="218">
      <c r="A218" s="170"/>
      <c r="B218" s="170"/>
      <c r="C218" s="170"/>
      <c r="D218" s="170"/>
      <c r="E218" s="170"/>
      <c r="F218" s="170"/>
    </row>
    <row r="219">
      <c r="A219" s="170"/>
      <c r="B219" s="170"/>
      <c r="C219" s="170"/>
      <c r="D219" s="170"/>
      <c r="E219" s="170"/>
      <c r="F219" s="170"/>
    </row>
    <row r="220">
      <c r="A220" s="170"/>
      <c r="B220" s="170"/>
      <c r="C220" s="170"/>
      <c r="D220" s="170"/>
      <c r="E220" s="170"/>
      <c r="F220" s="170"/>
    </row>
    <row r="221">
      <c r="A221" s="170"/>
      <c r="B221" s="170"/>
      <c r="C221" s="170"/>
      <c r="D221" s="170"/>
      <c r="E221" s="170"/>
      <c r="F221" s="170"/>
    </row>
    <row r="222">
      <c r="A222" s="170"/>
      <c r="B222" s="170"/>
      <c r="C222" s="170"/>
      <c r="D222" s="170"/>
      <c r="E222" s="170"/>
      <c r="F222" s="170"/>
    </row>
    <row r="223">
      <c r="A223" s="170"/>
      <c r="B223" s="170"/>
      <c r="C223" s="170"/>
      <c r="D223" s="170"/>
      <c r="E223" s="170"/>
      <c r="F223" s="170"/>
    </row>
    <row r="224">
      <c r="A224" s="170"/>
      <c r="B224" s="170"/>
      <c r="C224" s="170"/>
      <c r="D224" s="170"/>
      <c r="E224" s="170"/>
      <c r="F224" s="170"/>
    </row>
    <row r="225">
      <c r="A225" s="170"/>
      <c r="B225" s="170"/>
      <c r="C225" s="170"/>
      <c r="D225" s="170"/>
      <c r="E225" s="170"/>
      <c r="F225" s="170"/>
    </row>
    <row r="226">
      <c r="A226" s="170"/>
      <c r="B226" s="170"/>
      <c r="C226" s="170"/>
      <c r="D226" s="170"/>
      <c r="E226" s="170"/>
      <c r="F226" s="170"/>
    </row>
    <row r="227">
      <c r="A227" s="170"/>
      <c r="B227" s="170"/>
      <c r="C227" s="170"/>
      <c r="D227" s="170"/>
      <c r="E227" s="170"/>
      <c r="F227" s="170"/>
    </row>
    <row r="228">
      <c r="A228" s="170"/>
      <c r="B228" s="170"/>
      <c r="C228" s="170"/>
      <c r="D228" s="170"/>
      <c r="E228" s="170"/>
      <c r="F228" s="170"/>
    </row>
    <row r="229">
      <c r="A229" s="170"/>
      <c r="B229" s="170"/>
      <c r="C229" s="170"/>
      <c r="D229" s="170"/>
      <c r="E229" s="170"/>
      <c r="F229" s="170"/>
    </row>
    <row r="230">
      <c r="A230" s="170"/>
      <c r="B230" s="170"/>
      <c r="C230" s="170"/>
      <c r="D230" s="170"/>
      <c r="E230" s="170"/>
      <c r="F230" s="170"/>
    </row>
    <row r="231">
      <c r="A231" s="170"/>
      <c r="B231" s="170"/>
      <c r="C231" s="170"/>
      <c r="D231" s="170"/>
      <c r="E231" s="170"/>
      <c r="F231" s="170"/>
    </row>
    <row r="232">
      <c r="A232" s="170"/>
      <c r="B232" s="170"/>
      <c r="C232" s="170"/>
      <c r="D232" s="170"/>
      <c r="E232" s="170"/>
      <c r="F232" s="170"/>
    </row>
    <row r="233">
      <c r="A233" s="170"/>
      <c r="B233" s="170"/>
      <c r="C233" s="170"/>
      <c r="D233" s="170"/>
      <c r="E233" s="170"/>
      <c r="F233" s="170"/>
    </row>
    <row r="234">
      <c r="A234" s="170"/>
      <c r="B234" s="170"/>
      <c r="C234" s="170"/>
      <c r="D234" s="170"/>
      <c r="E234" s="170"/>
      <c r="F234" s="170"/>
    </row>
    <row r="235">
      <c r="A235" s="170"/>
      <c r="B235" s="170"/>
      <c r="C235" s="170"/>
      <c r="D235" s="170"/>
      <c r="E235" s="170"/>
      <c r="F235" s="170"/>
    </row>
    <row r="236">
      <c r="A236" s="170"/>
      <c r="B236" s="170"/>
      <c r="C236" s="170"/>
      <c r="D236" s="170"/>
      <c r="E236" s="170"/>
      <c r="F236" s="170"/>
    </row>
    <row r="237">
      <c r="A237" s="170"/>
      <c r="B237" s="170"/>
      <c r="C237" s="170"/>
      <c r="D237" s="170"/>
      <c r="E237" s="170"/>
      <c r="F237" s="170"/>
    </row>
    <row r="238">
      <c r="A238" s="170"/>
      <c r="B238" s="170"/>
      <c r="C238" s="170"/>
      <c r="D238" s="170"/>
      <c r="E238" s="170"/>
      <c r="F238" s="170"/>
    </row>
    <row r="239">
      <c r="A239" s="170"/>
      <c r="B239" s="170"/>
      <c r="C239" s="170"/>
      <c r="D239" s="170"/>
      <c r="E239" s="170"/>
      <c r="F239" s="170"/>
    </row>
    <row r="240">
      <c r="A240" s="170"/>
      <c r="B240" s="170"/>
      <c r="C240" s="170"/>
      <c r="D240" s="170"/>
      <c r="E240" s="170"/>
      <c r="F240" s="170"/>
    </row>
    <row r="241">
      <c r="A241" s="170"/>
      <c r="B241" s="170"/>
      <c r="C241" s="170"/>
      <c r="D241" s="170"/>
      <c r="E241" s="170"/>
      <c r="F241" s="170"/>
    </row>
    <row r="242">
      <c r="A242" s="170"/>
      <c r="B242" s="170"/>
      <c r="C242" s="170"/>
      <c r="D242" s="170"/>
      <c r="E242" s="170"/>
      <c r="F242" s="170"/>
    </row>
    <row r="243">
      <c r="A243" s="170"/>
      <c r="B243" s="170"/>
      <c r="C243" s="170"/>
      <c r="D243" s="170"/>
      <c r="E243" s="170"/>
      <c r="F243" s="170"/>
    </row>
    <row r="244">
      <c r="A244" s="170"/>
      <c r="B244" s="170"/>
      <c r="C244" s="170"/>
      <c r="D244" s="170"/>
      <c r="E244" s="170"/>
      <c r="F244" s="170"/>
    </row>
    <row r="245">
      <c r="A245" s="170"/>
      <c r="B245" s="170"/>
      <c r="C245" s="170"/>
      <c r="D245" s="170"/>
      <c r="E245" s="170"/>
      <c r="F245" s="170"/>
    </row>
    <row r="246">
      <c r="A246" s="170"/>
      <c r="B246" s="170"/>
      <c r="C246" s="170"/>
      <c r="D246" s="170"/>
      <c r="E246" s="170"/>
      <c r="F246" s="170"/>
    </row>
    <row r="247">
      <c r="A247" s="170"/>
      <c r="B247" s="170"/>
      <c r="C247" s="170"/>
      <c r="D247" s="170"/>
      <c r="E247" s="170"/>
      <c r="F247" s="170"/>
    </row>
    <row r="248">
      <c r="A248" s="170"/>
      <c r="B248" s="170"/>
      <c r="C248" s="170"/>
      <c r="D248" s="170"/>
      <c r="E248" s="170"/>
      <c r="F248" s="170"/>
    </row>
    <row r="249">
      <c r="A249" s="170"/>
      <c r="B249" s="170"/>
      <c r="C249" s="170"/>
      <c r="D249" s="170"/>
      <c r="E249" s="170"/>
      <c r="F249" s="170"/>
    </row>
    <row r="250">
      <c r="A250" s="170"/>
      <c r="B250" s="170"/>
      <c r="C250" s="170"/>
      <c r="D250" s="170"/>
      <c r="E250" s="170"/>
      <c r="F250" s="170"/>
    </row>
    <row r="251">
      <c r="A251" s="170"/>
      <c r="B251" s="170"/>
      <c r="C251" s="170"/>
      <c r="D251" s="170"/>
      <c r="E251" s="170"/>
      <c r="F251" s="170"/>
    </row>
    <row r="252">
      <c r="A252" s="170"/>
      <c r="B252" s="170"/>
      <c r="C252" s="170"/>
      <c r="D252" s="170"/>
      <c r="E252" s="170"/>
      <c r="F252" s="170"/>
    </row>
    <row r="253">
      <c r="A253" s="170"/>
      <c r="B253" s="170"/>
      <c r="C253" s="170"/>
      <c r="D253" s="170"/>
      <c r="E253" s="170"/>
      <c r="F253" s="170"/>
    </row>
    <row r="254">
      <c r="A254" s="170"/>
      <c r="B254" s="170"/>
      <c r="C254" s="170"/>
      <c r="D254" s="170"/>
      <c r="E254" s="170"/>
      <c r="F254" s="170"/>
    </row>
    <row r="255">
      <c r="A255" s="170"/>
      <c r="B255" s="170"/>
      <c r="C255" s="170"/>
      <c r="D255" s="170"/>
      <c r="E255" s="170"/>
      <c r="F255" s="170"/>
    </row>
    <row r="256">
      <c r="A256" s="170"/>
      <c r="B256" s="170"/>
      <c r="C256" s="170"/>
      <c r="D256" s="170"/>
      <c r="E256" s="170"/>
      <c r="F256" s="170"/>
    </row>
    <row r="257">
      <c r="A257" s="170"/>
      <c r="B257" s="170"/>
      <c r="C257" s="170"/>
      <c r="D257" s="170"/>
      <c r="E257" s="170"/>
      <c r="F257" s="170"/>
    </row>
    <row r="258">
      <c r="A258" s="170"/>
      <c r="B258" s="170"/>
      <c r="C258" s="170"/>
      <c r="D258" s="170"/>
      <c r="E258" s="170"/>
      <c r="F258" s="170"/>
    </row>
    <row r="259">
      <c r="A259" s="170"/>
      <c r="B259" s="170"/>
      <c r="C259" s="170"/>
      <c r="D259" s="170"/>
      <c r="E259" s="170"/>
      <c r="F259" s="170"/>
    </row>
    <row r="260">
      <c r="A260" s="170"/>
      <c r="B260" s="170"/>
      <c r="C260" s="170"/>
      <c r="D260" s="170"/>
      <c r="E260" s="170"/>
      <c r="F260" s="170"/>
    </row>
    <row r="261">
      <c r="A261" s="170"/>
      <c r="B261" s="170"/>
      <c r="C261" s="170"/>
      <c r="D261" s="170"/>
      <c r="E261" s="170"/>
      <c r="F261" s="170"/>
    </row>
    <row r="262">
      <c r="A262" s="170"/>
      <c r="B262" s="170"/>
      <c r="C262" s="170"/>
      <c r="D262" s="170"/>
      <c r="E262" s="170"/>
      <c r="F262" s="170"/>
    </row>
    <row r="263">
      <c r="A263" s="170"/>
      <c r="B263" s="170"/>
      <c r="C263" s="170"/>
      <c r="D263" s="170"/>
      <c r="E263" s="170"/>
      <c r="F263" s="170"/>
    </row>
    <row r="264">
      <c r="A264" s="170"/>
      <c r="B264" s="170"/>
      <c r="C264" s="170"/>
      <c r="D264" s="170"/>
      <c r="E264" s="170"/>
      <c r="F264" s="170"/>
    </row>
    <row r="265">
      <c r="A265" s="170"/>
      <c r="B265" s="170"/>
      <c r="C265" s="170"/>
      <c r="D265" s="170"/>
      <c r="E265" s="170"/>
      <c r="F265" s="170"/>
    </row>
    <row r="266">
      <c r="A266" s="170"/>
      <c r="B266" s="170"/>
      <c r="C266" s="170"/>
      <c r="D266" s="170"/>
      <c r="E266" s="170"/>
      <c r="F266" s="170"/>
    </row>
    <row r="267">
      <c r="A267" s="170"/>
      <c r="B267" s="170"/>
      <c r="C267" s="170"/>
      <c r="D267" s="170"/>
      <c r="E267" s="170"/>
      <c r="F267" s="170"/>
    </row>
    <row r="268">
      <c r="A268" s="170"/>
      <c r="B268" s="170"/>
      <c r="C268" s="170"/>
      <c r="D268" s="170"/>
      <c r="E268" s="170"/>
      <c r="F268" s="170"/>
    </row>
    <row r="269">
      <c r="A269" s="170"/>
      <c r="B269" s="170"/>
      <c r="C269" s="170"/>
      <c r="D269" s="170"/>
      <c r="E269" s="170"/>
      <c r="F269" s="170"/>
    </row>
    <row r="270">
      <c r="A270" s="170"/>
      <c r="B270" s="170"/>
      <c r="C270" s="170"/>
      <c r="D270" s="170"/>
      <c r="E270" s="170"/>
      <c r="F270" s="170"/>
    </row>
    <row r="271">
      <c r="A271" s="170"/>
      <c r="B271" s="170"/>
      <c r="C271" s="170"/>
      <c r="D271" s="170"/>
      <c r="E271" s="170"/>
      <c r="F271" s="170"/>
    </row>
    <row r="272">
      <c r="A272" s="170"/>
      <c r="B272" s="170"/>
      <c r="C272" s="170"/>
      <c r="D272" s="170"/>
      <c r="E272" s="170"/>
      <c r="F272" s="170"/>
    </row>
    <row r="273">
      <c r="A273" s="170"/>
      <c r="B273" s="170"/>
      <c r="C273" s="170"/>
      <c r="D273" s="170"/>
      <c r="E273" s="170"/>
      <c r="F273" s="170"/>
    </row>
    <row r="274">
      <c r="A274" s="170"/>
      <c r="B274" s="170"/>
      <c r="C274" s="170"/>
      <c r="D274" s="170"/>
      <c r="E274" s="170"/>
      <c r="F274" s="170"/>
    </row>
    <row r="275">
      <c r="A275" s="170"/>
      <c r="B275" s="170"/>
      <c r="C275" s="170"/>
      <c r="D275" s="170"/>
      <c r="E275" s="170"/>
      <c r="F275" s="170"/>
    </row>
    <row r="276">
      <c r="A276" s="170"/>
      <c r="B276" s="170"/>
      <c r="C276" s="170"/>
      <c r="D276" s="170"/>
      <c r="E276" s="170"/>
      <c r="F276" s="170"/>
    </row>
    <row r="277">
      <c r="A277" s="170"/>
      <c r="B277" s="170"/>
      <c r="C277" s="170"/>
      <c r="D277" s="170"/>
      <c r="E277" s="170"/>
      <c r="F277" s="170"/>
    </row>
    <row r="278">
      <c r="A278" s="170"/>
      <c r="B278" s="170"/>
      <c r="C278" s="170"/>
      <c r="D278" s="170"/>
      <c r="E278" s="170"/>
      <c r="F278" s="170"/>
    </row>
    <row r="279">
      <c r="A279" s="170"/>
      <c r="B279" s="170"/>
      <c r="C279" s="170"/>
      <c r="D279" s="170"/>
      <c r="E279" s="170"/>
      <c r="F279" s="170"/>
    </row>
    <row r="280">
      <c r="A280" s="170"/>
      <c r="B280" s="170"/>
      <c r="C280" s="170"/>
      <c r="D280" s="170"/>
      <c r="E280" s="170"/>
      <c r="F280" s="170"/>
    </row>
    <row r="281">
      <c r="A281" s="170"/>
      <c r="B281" s="170"/>
      <c r="C281" s="170"/>
      <c r="D281" s="170"/>
      <c r="E281" s="170"/>
      <c r="F281" s="170"/>
    </row>
    <row r="282">
      <c r="A282" s="170"/>
      <c r="B282" s="170"/>
      <c r="C282" s="170"/>
      <c r="D282" s="170"/>
      <c r="E282" s="170"/>
      <c r="F282" s="170"/>
    </row>
    <row r="283">
      <c r="A283" s="170"/>
      <c r="B283" s="170"/>
      <c r="C283" s="170"/>
      <c r="D283" s="170"/>
      <c r="E283" s="170"/>
      <c r="F283" s="170"/>
    </row>
    <row r="284">
      <c r="A284" s="170"/>
      <c r="B284" s="170"/>
      <c r="C284" s="170"/>
      <c r="D284" s="170"/>
      <c r="E284" s="170"/>
      <c r="F284" s="170"/>
    </row>
    <row r="285">
      <c r="A285" s="170"/>
      <c r="B285" s="170"/>
      <c r="C285" s="170"/>
      <c r="D285" s="170"/>
      <c r="E285" s="170"/>
      <c r="F285" s="170"/>
    </row>
    <row r="286">
      <c r="A286" s="170"/>
      <c r="B286" s="170"/>
      <c r="C286" s="170"/>
      <c r="D286" s="170"/>
      <c r="E286" s="170"/>
      <c r="F286" s="170"/>
    </row>
    <row r="287">
      <c r="A287" s="170"/>
      <c r="B287" s="170"/>
      <c r="C287" s="170"/>
      <c r="D287" s="170"/>
      <c r="E287" s="170"/>
      <c r="F287" s="170"/>
    </row>
    <row r="288">
      <c r="A288" s="170"/>
      <c r="B288" s="170"/>
      <c r="C288" s="170"/>
      <c r="D288" s="170"/>
      <c r="E288" s="170"/>
      <c r="F288" s="170"/>
    </row>
    <row r="289">
      <c r="A289" s="170"/>
      <c r="B289" s="170"/>
      <c r="C289" s="170"/>
      <c r="D289" s="170"/>
      <c r="E289" s="170"/>
      <c r="F289" s="170"/>
    </row>
    <row r="290">
      <c r="A290" s="170"/>
      <c r="B290" s="170"/>
      <c r="C290" s="170"/>
      <c r="D290" s="170"/>
      <c r="E290" s="170"/>
      <c r="F290" s="170"/>
    </row>
    <row r="291">
      <c r="A291" s="170"/>
      <c r="B291" s="170"/>
      <c r="C291" s="170"/>
      <c r="D291" s="170"/>
      <c r="E291" s="170"/>
      <c r="F291" s="170"/>
    </row>
    <row r="292">
      <c r="A292" s="170"/>
      <c r="B292" s="170"/>
      <c r="C292" s="170"/>
      <c r="D292" s="170"/>
      <c r="E292" s="170"/>
      <c r="F292" s="170"/>
    </row>
    <row r="293">
      <c r="A293" s="170"/>
      <c r="B293" s="170"/>
      <c r="C293" s="170"/>
      <c r="D293" s="170"/>
      <c r="E293" s="170"/>
      <c r="F293" s="170"/>
    </row>
    <row r="294">
      <c r="A294" s="170"/>
      <c r="B294" s="170"/>
      <c r="C294" s="170"/>
      <c r="D294" s="170"/>
      <c r="E294" s="170"/>
      <c r="F294" s="170"/>
    </row>
    <row r="295">
      <c r="A295" s="170"/>
      <c r="B295" s="170"/>
      <c r="C295" s="170"/>
      <c r="D295" s="170"/>
      <c r="E295" s="170"/>
      <c r="F295" s="170"/>
    </row>
    <row r="296">
      <c r="A296" s="170"/>
      <c r="B296" s="170"/>
      <c r="C296" s="170"/>
      <c r="D296" s="170"/>
      <c r="E296" s="170"/>
      <c r="F296" s="170"/>
    </row>
    <row r="297">
      <c r="A297" s="170"/>
      <c r="B297" s="170"/>
      <c r="C297" s="170"/>
      <c r="D297" s="170"/>
      <c r="E297" s="170"/>
      <c r="F297" s="170"/>
    </row>
    <row r="298">
      <c r="A298" s="170"/>
      <c r="B298" s="170"/>
      <c r="C298" s="170"/>
      <c r="D298" s="170"/>
      <c r="E298" s="170"/>
      <c r="F298" s="170"/>
    </row>
    <row r="299">
      <c r="A299" s="170"/>
      <c r="B299" s="170"/>
      <c r="C299" s="170"/>
      <c r="D299" s="170"/>
      <c r="E299" s="170"/>
      <c r="F299" s="170"/>
    </row>
    <row r="300">
      <c r="A300" s="170"/>
      <c r="B300" s="170"/>
      <c r="C300" s="170"/>
      <c r="D300" s="170"/>
      <c r="E300" s="170"/>
      <c r="F300" s="170"/>
    </row>
    <row r="301">
      <c r="A301" s="170"/>
      <c r="B301" s="170"/>
      <c r="C301" s="170"/>
      <c r="D301" s="170"/>
      <c r="E301" s="170"/>
      <c r="F301" s="170"/>
    </row>
    <row r="302">
      <c r="A302" s="170"/>
      <c r="B302" s="170"/>
      <c r="C302" s="170"/>
      <c r="D302" s="170"/>
      <c r="E302" s="170"/>
      <c r="F302" s="170"/>
    </row>
    <row r="303">
      <c r="A303" s="170"/>
      <c r="B303" s="170"/>
      <c r="C303" s="170"/>
      <c r="D303" s="170"/>
      <c r="E303" s="170"/>
      <c r="F303" s="170"/>
    </row>
    <row r="304">
      <c r="A304" s="170"/>
      <c r="B304" s="170"/>
      <c r="C304" s="170"/>
      <c r="D304" s="170"/>
      <c r="E304" s="170"/>
      <c r="F304" s="170"/>
    </row>
    <row r="305">
      <c r="A305" s="170"/>
      <c r="B305" s="170"/>
      <c r="C305" s="170"/>
      <c r="D305" s="170"/>
      <c r="E305" s="170"/>
      <c r="F305" s="170"/>
    </row>
    <row r="306">
      <c r="A306" s="170"/>
      <c r="B306" s="170"/>
      <c r="C306" s="170"/>
      <c r="D306" s="170"/>
      <c r="E306" s="170"/>
      <c r="F306" s="170"/>
    </row>
    <row r="307">
      <c r="A307" s="170"/>
      <c r="B307" s="170"/>
      <c r="C307" s="170"/>
      <c r="D307" s="170"/>
      <c r="E307" s="170"/>
      <c r="F307" s="170"/>
    </row>
    <row r="308">
      <c r="A308" s="170"/>
      <c r="B308" s="170"/>
      <c r="C308" s="170"/>
      <c r="D308" s="170"/>
      <c r="E308" s="170"/>
      <c r="F308" s="170"/>
    </row>
    <row r="309">
      <c r="A309" s="170"/>
      <c r="B309" s="170"/>
      <c r="C309" s="170"/>
      <c r="D309" s="170"/>
      <c r="E309" s="170"/>
      <c r="F309" s="170"/>
    </row>
    <row r="310">
      <c r="A310" s="170"/>
      <c r="B310" s="170"/>
      <c r="C310" s="170"/>
      <c r="D310" s="170"/>
      <c r="E310" s="170"/>
      <c r="F310" s="170"/>
    </row>
    <row r="311">
      <c r="A311" s="170"/>
      <c r="B311" s="170"/>
      <c r="C311" s="170"/>
      <c r="D311" s="170"/>
      <c r="E311" s="170"/>
      <c r="F311" s="170"/>
    </row>
    <row r="312">
      <c r="A312" s="170"/>
      <c r="B312" s="170"/>
      <c r="C312" s="170"/>
      <c r="D312" s="170"/>
      <c r="E312" s="170"/>
      <c r="F312" s="170"/>
    </row>
    <row r="313">
      <c r="A313" s="170"/>
      <c r="B313" s="170"/>
      <c r="C313" s="170"/>
      <c r="D313" s="170"/>
      <c r="E313" s="170"/>
      <c r="F313" s="170"/>
    </row>
    <row r="314">
      <c r="A314" s="170"/>
      <c r="B314" s="170"/>
      <c r="C314" s="170"/>
      <c r="D314" s="170"/>
      <c r="E314" s="170"/>
      <c r="F314" s="170"/>
    </row>
    <row r="315">
      <c r="A315" s="170"/>
      <c r="B315" s="170"/>
      <c r="C315" s="170"/>
      <c r="D315" s="170"/>
      <c r="E315" s="170"/>
      <c r="F315" s="170"/>
    </row>
    <row r="316">
      <c r="A316" s="170"/>
      <c r="B316" s="170"/>
      <c r="C316" s="170"/>
      <c r="D316" s="170"/>
      <c r="E316" s="170"/>
      <c r="F316" s="170"/>
    </row>
    <row r="317">
      <c r="A317" s="170"/>
      <c r="B317" s="170"/>
      <c r="C317" s="170"/>
      <c r="D317" s="170"/>
      <c r="E317" s="170"/>
      <c r="F317" s="170"/>
    </row>
    <row r="318">
      <c r="A318" s="170"/>
      <c r="B318" s="170"/>
      <c r="C318" s="170"/>
      <c r="D318" s="170"/>
      <c r="E318" s="170"/>
      <c r="F318" s="170"/>
    </row>
    <row r="319">
      <c r="A319" s="170"/>
      <c r="B319" s="170"/>
      <c r="C319" s="170"/>
      <c r="D319" s="170"/>
      <c r="E319" s="170"/>
      <c r="F319" s="170"/>
    </row>
    <row r="320">
      <c r="A320" s="170"/>
      <c r="B320" s="170"/>
      <c r="C320" s="170"/>
      <c r="D320" s="170"/>
      <c r="E320" s="170"/>
      <c r="F320" s="170"/>
    </row>
    <row r="321">
      <c r="A321" s="170"/>
      <c r="B321" s="170"/>
      <c r="C321" s="170"/>
      <c r="D321" s="170"/>
      <c r="E321" s="170"/>
      <c r="F321" s="170"/>
    </row>
    <row r="322">
      <c r="A322" s="170"/>
      <c r="B322" s="170"/>
      <c r="C322" s="170"/>
      <c r="D322" s="170"/>
      <c r="E322" s="170"/>
      <c r="F322" s="170"/>
    </row>
    <row r="323">
      <c r="A323" s="170"/>
      <c r="B323" s="170"/>
      <c r="C323" s="170"/>
      <c r="D323" s="170"/>
      <c r="E323" s="170"/>
      <c r="F323" s="170"/>
    </row>
    <row r="324">
      <c r="A324" s="170"/>
      <c r="B324" s="170"/>
      <c r="C324" s="170"/>
      <c r="D324" s="170"/>
      <c r="E324" s="170"/>
      <c r="F324" s="170"/>
    </row>
    <row r="325">
      <c r="A325" s="170"/>
      <c r="B325" s="170"/>
      <c r="C325" s="170"/>
      <c r="D325" s="170"/>
      <c r="E325" s="170"/>
      <c r="F325" s="170"/>
    </row>
    <row r="326">
      <c r="A326" s="170"/>
      <c r="B326" s="170"/>
      <c r="C326" s="170"/>
      <c r="D326" s="170"/>
      <c r="E326" s="170"/>
      <c r="F326" s="170"/>
    </row>
    <row r="327">
      <c r="A327" s="170"/>
      <c r="B327" s="170"/>
      <c r="C327" s="170"/>
      <c r="D327" s="170"/>
      <c r="E327" s="170"/>
      <c r="F327" s="170"/>
    </row>
    <row r="328">
      <c r="A328" s="170"/>
      <c r="B328" s="170"/>
      <c r="C328" s="170"/>
      <c r="D328" s="170"/>
      <c r="E328" s="170"/>
      <c r="F328" s="170"/>
    </row>
    <row r="329">
      <c r="A329" s="170"/>
      <c r="B329" s="170"/>
      <c r="C329" s="170"/>
      <c r="D329" s="170"/>
      <c r="E329" s="170"/>
      <c r="F329" s="170"/>
    </row>
    <row r="330">
      <c r="A330" s="170"/>
      <c r="B330" s="170"/>
      <c r="C330" s="170"/>
      <c r="D330" s="170"/>
      <c r="E330" s="170"/>
      <c r="F330" s="170"/>
    </row>
    <row r="331">
      <c r="A331" s="170"/>
      <c r="B331" s="170"/>
      <c r="C331" s="170"/>
      <c r="D331" s="170"/>
      <c r="E331" s="170"/>
      <c r="F331" s="170"/>
    </row>
    <row r="332">
      <c r="A332" s="170"/>
      <c r="B332" s="170"/>
      <c r="C332" s="170"/>
      <c r="D332" s="170"/>
      <c r="E332" s="170"/>
      <c r="F332" s="170"/>
    </row>
    <row r="333">
      <c r="A333" s="170"/>
      <c r="B333" s="170"/>
      <c r="C333" s="170"/>
      <c r="D333" s="170"/>
      <c r="E333" s="170"/>
      <c r="F333" s="170"/>
    </row>
    <row r="334">
      <c r="A334" s="170"/>
      <c r="B334" s="170"/>
      <c r="C334" s="170"/>
      <c r="D334" s="170"/>
      <c r="E334" s="170"/>
      <c r="F334" s="170"/>
    </row>
    <row r="335">
      <c r="A335" s="170"/>
      <c r="B335" s="170"/>
      <c r="C335" s="170"/>
      <c r="D335" s="170"/>
      <c r="E335" s="170"/>
      <c r="F335" s="170"/>
    </row>
    <row r="336">
      <c r="A336" s="170"/>
      <c r="B336" s="170"/>
      <c r="C336" s="170"/>
      <c r="D336" s="170"/>
      <c r="E336" s="170"/>
      <c r="F336" s="170"/>
    </row>
    <row r="337">
      <c r="A337" s="170"/>
      <c r="B337" s="170"/>
      <c r="C337" s="170"/>
      <c r="D337" s="170"/>
      <c r="E337" s="170"/>
      <c r="F337" s="170"/>
    </row>
    <row r="338">
      <c r="A338" s="170"/>
      <c r="B338" s="170"/>
      <c r="C338" s="170"/>
      <c r="D338" s="170"/>
      <c r="E338" s="170"/>
      <c r="F338" s="170"/>
    </row>
    <row r="339">
      <c r="A339" s="170"/>
      <c r="B339" s="170"/>
      <c r="C339" s="170"/>
      <c r="D339" s="170"/>
      <c r="E339" s="170"/>
      <c r="F339" s="170"/>
    </row>
    <row r="340">
      <c r="A340" s="170"/>
      <c r="B340" s="170"/>
      <c r="C340" s="170"/>
      <c r="D340" s="170"/>
      <c r="E340" s="170"/>
      <c r="F340" s="170"/>
    </row>
    <row r="341">
      <c r="A341" s="170"/>
      <c r="B341" s="170"/>
      <c r="C341" s="170"/>
      <c r="D341" s="170"/>
      <c r="E341" s="170"/>
      <c r="F341" s="170"/>
    </row>
    <row r="342">
      <c r="A342" s="170"/>
      <c r="B342" s="170"/>
      <c r="C342" s="170"/>
      <c r="D342" s="170"/>
      <c r="E342" s="170"/>
      <c r="F342" s="170"/>
    </row>
    <row r="343">
      <c r="A343" s="170"/>
      <c r="B343" s="170"/>
      <c r="C343" s="170"/>
      <c r="D343" s="170"/>
      <c r="E343" s="170"/>
      <c r="F343" s="170"/>
    </row>
    <row r="344">
      <c r="A344" s="170"/>
      <c r="B344" s="170"/>
      <c r="C344" s="170"/>
      <c r="D344" s="170"/>
      <c r="E344" s="170"/>
      <c r="F344" s="170"/>
    </row>
    <row r="345">
      <c r="A345" s="170"/>
      <c r="B345" s="170"/>
      <c r="C345" s="170"/>
      <c r="D345" s="170"/>
      <c r="E345" s="170"/>
      <c r="F345" s="170"/>
    </row>
    <row r="346">
      <c r="A346" s="170"/>
      <c r="B346" s="170"/>
      <c r="C346" s="170"/>
      <c r="D346" s="170"/>
      <c r="E346" s="170"/>
      <c r="F346" s="170"/>
    </row>
    <row r="347">
      <c r="A347" s="170"/>
      <c r="B347" s="170"/>
      <c r="C347" s="170"/>
      <c r="D347" s="170"/>
      <c r="E347" s="170"/>
      <c r="F347" s="170"/>
    </row>
    <row r="348">
      <c r="A348" s="170"/>
      <c r="B348" s="170"/>
      <c r="C348" s="170"/>
      <c r="D348" s="170"/>
      <c r="E348" s="170"/>
      <c r="F348" s="170"/>
    </row>
    <row r="349">
      <c r="A349" s="170"/>
      <c r="B349" s="170"/>
      <c r="C349" s="170"/>
      <c r="D349" s="170"/>
      <c r="E349" s="170"/>
      <c r="F349" s="170"/>
    </row>
    <row r="350">
      <c r="A350" s="170"/>
      <c r="B350" s="170"/>
      <c r="C350" s="170"/>
      <c r="D350" s="170"/>
      <c r="E350" s="170"/>
      <c r="F350" s="170"/>
    </row>
    <row r="351">
      <c r="A351" s="170"/>
      <c r="B351" s="170"/>
      <c r="C351" s="170"/>
      <c r="D351" s="170"/>
      <c r="E351" s="170"/>
      <c r="F351" s="170"/>
    </row>
    <row r="352">
      <c r="A352" s="170"/>
      <c r="B352" s="170"/>
      <c r="C352" s="170"/>
      <c r="D352" s="170"/>
      <c r="E352" s="170"/>
      <c r="F352" s="170"/>
    </row>
    <row r="353">
      <c r="A353" s="170"/>
      <c r="B353" s="170"/>
      <c r="C353" s="170"/>
      <c r="D353" s="170"/>
      <c r="E353" s="170"/>
      <c r="F353" s="170"/>
    </row>
    <row r="354">
      <c r="A354" s="170"/>
      <c r="B354" s="170"/>
      <c r="C354" s="170"/>
      <c r="D354" s="170"/>
      <c r="E354" s="170"/>
      <c r="F354" s="170"/>
    </row>
    <row r="355">
      <c r="A355" s="170"/>
      <c r="B355" s="170"/>
      <c r="C355" s="170"/>
      <c r="D355" s="170"/>
      <c r="E355" s="170"/>
      <c r="F355" s="170"/>
    </row>
    <row r="356">
      <c r="A356" s="170"/>
      <c r="B356" s="170"/>
      <c r="C356" s="170"/>
      <c r="D356" s="170"/>
      <c r="E356" s="170"/>
      <c r="F356" s="170"/>
    </row>
    <row r="357">
      <c r="A357" s="170"/>
      <c r="B357" s="170"/>
      <c r="C357" s="170"/>
      <c r="D357" s="170"/>
      <c r="E357" s="170"/>
      <c r="F357" s="170"/>
    </row>
    <row r="358">
      <c r="A358" s="170"/>
      <c r="B358" s="170"/>
      <c r="C358" s="170"/>
      <c r="D358" s="170"/>
      <c r="E358" s="170"/>
      <c r="F358" s="170"/>
    </row>
    <row r="359">
      <c r="A359" s="170"/>
      <c r="B359" s="170"/>
      <c r="C359" s="170"/>
      <c r="D359" s="170"/>
      <c r="E359" s="170"/>
      <c r="F359" s="170"/>
    </row>
    <row r="360">
      <c r="A360" s="170"/>
      <c r="B360" s="170"/>
      <c r="C360" s="170"/>
      <c r="D360" s="170"/>
      <c r="E360" s="170"/>
      <c r="F360" s="170"/>
    </row>
    <row r="361">
      <c r="A361" s="170"/>
      <c r="B361" s="170"/>
      <c r="C361" s="170"/>
      <c r="D361" s="170"/>
      <c r="E361" s="170"/>
      <c r="F361" s="170"/>
    </row>
    <row r="362">
      <c r="A362" s="170"/>
      <c r="B362" s="170"/>
      <c r="C362" s="170"/>
      <c r="D362" s="170"/>
      <c r="E362" s="170"/>
      <c r="F362" s="170"/>
    </row>
    <row r="363">
      <c r="A363" s="170"/>
      <c r="B363" s="170"/>
      <c r="C363" s="170"/>
      <c r="D363" s="170"/>
      <c r="E363" s="170"/>
      <c r="F363" s="170"/>
    </row>
    <row r="364">
      <c r="A364" s="170"/>
      <c r="B364" s="170"/>
      <c r="C364" s="170"/>
      <c r="D364" s="170"/>
      <c r="E364" s="170"/>
      <c r="F364" s="170"/>
    </row>
    <row r="365">
      <c r="A365" s="170"/>
      <c r="B365" s="170"/>
      <c r="C365" s="170"/>
      <c r="D365" s="170"/>
      <c r="E365" s="170"/>
      <c r="F365" s="170"/>
    </row>
    <row r="366">
      <c r="A366" s="170"/>
      <c r="B366" s="170"/>
      <c r="C366" s="170"/>
      <c r="D366" s="170"/>
      <c r="E366" s="170"/>
      <c r="F366" s="170"/>
    </row>
    <row r="367">
      <c r="A367" s="170"/>
      <c r="B367" s="170"/>
      <c r="C367" s="170"/>
      <c r="D367" s="170"/>
      <c r="E367" s="170"/>
      <c r="F367" s="170"/>
    </row>
    <row r="368">
      <c r="A368" s="170"/>
      <c r="B368" s="170"/>
      <c r="C368" s="170"/>
      <c r="D368" s="170"/>
      <c r="E368" s="170"/>
      <c r="F368" s="170"/>
    </row>
    <row r="369">
      <c r="A369" s="170"/>
      <c r="B369" s="170"/>
      <c r="C369" s="170"/>
      <c r="D369" s="170"/>
      <c r="E369" s="170"/>
      <c r="F369" s="170"/>
    </row>
    <row r="370">
      <c r="A370" s="170"/>
      <c r="B370" s="170"/>
      <c r="C370" s="170"/>
      <c r="D370" s="170"/>
      <c r="E370" s="170"/>
      <c r="F370" s="170"/>
    </row>
    <row r="371">
      <c r="A371" s="170"/>
      <c r="B371" s="170"/>
      <c r="C371" s="170"/>
      <c r="D371" s="170"/>
      <c r="E371" s="170"/>
      <c r="F371" s="170"/>
    </row>
    <row r="372">
      <c r="A372" s="170"/>
      <c r="B372" s="170"/>
      <c r="C372" s="170"/>
      <c r="D372" s="170"/>
      <c r="E372" s="170"/>
      <c r="F372" s="170"/>
    </row>
    <row r="373">
      <c r="A373" s="170"/>
      <c r="B373" s="170"/>
      <c r="C373" s="170"/>
      <c r="D373" s="170"/>
      <c r="E373" s="170"/>
      <c r="F373" s="170"/>
    </row>
    <row r="374">
      <c r="A374" s="170"/>
      <c r="B374" s="170"/>
      <c r="C374" s="170"/>
      <c r="D374" s="170"/>
      <c r="E374" s="170"/>
      <c r="F374" s="170"/>
    </row>
    <row r="375">
      <c r="A375" s="170"/>
      <c r="B375" s="170"/>
      <c r="C375" s="170"/>
      <c r="D375" s="170"/>
      <c r="E375" s="170"/>
      <c r="F375" s="170"/>
    </row>
    <row r="376">
      <c r="A376" s="170"/>
      <c r="B376" s="170"/>
      <c r="C376" s="170"/>
      <c r="D376" s="170"/>
      <c r="E376" s="170"/>
      <c r="F376" s="170"/>
    </row>
    <row r="377">
      <c r="A377" s="170"/>
      <c r="B377" s="170"/>
      <c r="C377" s="170"/>
      <c r="D377" s="170"/>
      <c r="E377" s="170"/>
      <c r="F377" s="170"/>
    </row>
    <row r="378">
      <c r="A378" s="170"/>
      <c r="B378" s="170"/>
      <c r="C378" s="170"/>
      <c r="D378" s="170"/>
      <c r="E378" s="170"/>
      <c r="F378" s="170"/>
    </row>
    <row r="379">
      <c r="A379" s="170"/>
      <c r="B379" s="170"/>
      <c r="C379" s="170"/>
      <c r="D379" s="170"/>
      <c r="E379" s="170"/>
      <c r="F379" s="170"/>
    </row>
    <row r="380">
      <c r="A380" s="170"/>
      <c r="B380" s="170"/>
      <c r="C380" s="170"/>
      <c r="D380" s="170"/>
      <c r="E380" s="170"/>
      <c r="F380" s="170"/>
    </row>
    <row r="381">
      <c r="A381" s="170"/>
      <c r="B381" s="170"/>
      <c r="C381" s="170"/>
      <c r="D381" s="170"/>
      <c r="E381" s="170"/>
      <c r="F381" s="170"/>
    </row>
    <row r="382">
      <c r="A382" s="170"/>
      <c r="B382" s="170"/>
      <c r="C382" s="170"/>
      <c r="D382" s="170"/>
      <c r="E382" s="170"/>
      <c r="F382" s="170"/>
    </row>
    <row r="383">
      <c r="A383" s="170"/>
      <c r="B383" s="170"/>
      <c r="C383" s="170"/>
      <c r="D383" s="170"/>
      <c r="E383" s="170"/>
      <c r="F383" s="170"/>
    </row>
    <row r="384">
      <c r="A384" s="170"/>
      <c r="B384" s="170"/>
      <c r="C384" s="170"/>
      <c r="D384" s="170"/>
      <c r="E384" s="170"/>
      <c r="F384" s="170"/>
    </row>
    <row r="385">
      <c r="A385" s="170"/>
      <c r="B385" s="170"/>
      <c r="C385" s="170"/>
      <c r="D385" s="170"/>
      <c r="E385" s="170"/>
      <c r="F385" s="170"/>
    </row>
    <row r="386">
      <c r="A386" s="170"/>
      <c r="B386" s="170"/>
      <c r="C386" s="170"/>
      <c r="D386" s="170"/>
      <c r="E386" s="170"/>
      <c r="F386" s="170"/>
    </row>
    <row r="387">
      <c r="A387" s="170"/>
      <c r="B387" s="170"/>
      <c r="C387" s="170"/>
      <c r="D387" s="170"/>
      <c r="E387" s="170"/>
      <c r="F387" s="170"/>
    </row>
    <row r="388">
      <c r="A388" s="170"/>
      <c r="B388" s="170"/>
      <c r="C388" s="170"/>
      <c r="D388" s="170"/>
      <c r="E388" s="170"/>
      <c r="F388" s="170"/>
    </row>
    <row r="389">
      <c r="A389" s="170"/>
      <c r="B389" s="170"/>
      <c r="C389" s="170"/>
      <c r="D389" s="170"/>
      <c r="E389" s="170"/>
      <c r="F389" s="170"/>
    </row>
    <row r="390">
      <c r="A390" s="170"/>
      <c r="B390" s="170"/>
      <c r="C390" s="170"/>
      <c r="D390" s="170"/>
      <c r="E390" s="170"/>
      <c r="F390" s="170"/>
    </row>
    <row r="391">
      <c r="A391" s="170"/>
      <c r="B391" s="170"/>
      <c r="C391" s="170"/>
      <c r="D391" s="170"/>
      <c r="E391" s="170"/>
      <c r="F391" s="170"/>
    </row>
    <row r="392">
      <c r="A392" s="170"/>
      <c r="B392" s="170"/>
      <c r="C392" s="170"/>
      <c r="D392" s="170"/>
      <c r="E392" s="170"/>
      <c r="F392" s="170"/>
    </row>
    <row r="393">
      <c r="A393" s="170"/>
      <c r="B393" s="170"/>
      <c r="C393" s="170"/>
      <c r="D393" s="170"/>
      <c r="E393" s="170"/>
      <c r="F393" s="170"/>
    </row>
    <row r="394">
      <c r="A394" s="170"/>
      <c r="B394" s="170"/>
      <c r="C394" s="170"/>
      <c r="D394" s="170"/>
      <c r="E394" s="170"/>
      <c r="F394" s="170"/>
    </row>
    <row r="395">
      <c r="A395" s="170"/>
      <c r="B395" s="170"/>
      <c r="C395" s="170"/>
      <c r="D395" s="170"/>
      <c r="E395" s="170"/>
      <c r="F395" s="170"/>
    </row>
    <row r="396">
      <c r="A396" s="170"/>
      <c r="B396" s="170"/>
      <c r="C396" s="170"/>
      <c r="D396" s="170"/>
      <c r="E396" s="170"/>
      <c r="F396" s="170"/>
    </row>
    <row r="397">
      <c r="A397" s="170"/>
      <c r="B397" s="170"/>
      <c r="C397" s="170"/>
      <c r="D397" s="170"/>
      <c r="E397" s="170"/>
      <c r="F397" s="170"/>
    </row>
    <row r="398">
      <c r="A398" s="170"/>
      <c r="B398" s="170"/>
      <c r="C398" s="170"/>
      <c r="D398" s="170"/>
      <c r="E398" s="170"/>
      <c r="F398" s="170"/>
    </row>
    <row r="399">
      <c r="A399" s="170"/>
      <c r="B399" s="170"/>
      <c r="C399" s="170"/>
      <c r="D399" s="170"/>
      <c r="E399" s="170"/>
      <c r="F399" s="170"/>
    </row>
    <row r="400">
      <c r="A400" s="170"/>
      <c r="B400" s="170"/>
      <c r="C400" s="170"/>
      <c r="D400" s="170"/>
      <c r="E400" s="170"/>
      <c r="F400" s="170"/>
    </row>
    <row r="401">
      <c r="A401" s="170"/>
      <c r="B401" s="170"/>
      <c r="C401" s="170"/>
      <c r="D401" s="170"/>
      <c r="E401" s="170"/>
      <c r="F401" s="170"/>
    </row>
    <row r="402">
      <c r="A402" s="170"/>
      <c r="B402" s="170"/>
      <c r="C402" s="170"/>
      <c r="D402" s="170"/>
      <c r="E402" s="170"/>
      <c r="F402" s="170"/>
    </row>
    <row r="403">
      <c r="A403" s="170"/>
      <c r="B403" s="170"/>
      <c r="C403" s="170"/>
      <c r="D403" s="170"/>
      <c r="E403" s="170"/>
      <c r="F403" s="170"/>
    </row>
    <row r="404">
      <c r="A404" s="170"/>
      <c r="B404" s="170"/>
      <c r="C404" s="170"/>
      <c r="D404" s="170"/>
      <c r="E404" s="170"/>
      <c r="F404" s="170"/>
    </row>
    <row r="405">
      <c r="A405" s="170"/>
      <c r="B405" s="170"/>
      <c r="C405" s="170"/>
      <c r="D405" s="170"/>
      <c r="E405" s="170"/>
      <c r="F405" s="170"/>
    </row>
    <row r="406">
      <c r="A406" s="170"/>
      <c r="B406" s="170"/>
      <c r="C406" s="170"/>
      <c r="D406" s="170"/>
      <c r="E406" s="170"/>
      <c r="F406" s="170"/>
    </row>
    <row r="407">
      <c r="A407" s="170"/>
      <c r="B407" s="170"/>
      <c r="C407" s="170"/>
      <c r="D407" s="170"/>
      <c r="E407" s="170"/>
      <c r="F407" s="170"/>
    </row>
    <row r="408">
      <c r="A408" s="170"/>
      <c r="B408" s="170"/>
      <c r="C408" s="170"/>
      <c r="D408" s="170"/>
      <c r="E408" s="170"/>
      <c r="F408" s="170"/>
    </row>
    <row r="409">
      <c r="A409" s="170"/>
      <c r="B409" s="170"/>
      <c r="C409" s="170"/>
      <c r="D409" s="170"/>
      <c r="E409" s="170"/>
      <c r="F409" s="170"/>
    </row>
    <row r="410">
      <c r="A410" s="170"/>
      <c r="B410" s="170"/>
      <c r="C410" s="170"/>
      <c r="D410" s="170"/>
      <c r="E410" s="170"/>
      <c r="F410" s="170"/>
    </row>
    <row r="411">
      <c r="A411" s="170"/>
      <c r="B411" s="170"/>
      <c r="C411" s="170"/>
      <c r="D411" s="170"/>
      <c r="E411" s="170"/>
      <c r="F411" s="170"/>
    </row>
    <row r="412">
      <c r="A412" s="170"/>
      <c r="B412" s="170"/>
      <c r="C412" s="170"/>
      <c r="D412" s="170"/>
      <c r="E412" s="170"/>
      <c r="F412" s="170"/>
    </row>
    <row r="413">
      <c r="A413" s="170"/>
      <c r="B413" s="170"/>
      <c r="C413" s="170"/>
      <c r="D413" s="170"/>
      <c r="E413" s="170"/>
      <c r="F413" s="170"/>
    </row>
    <row r="414">
      <c r="A414" s="170"/>
      <c r="B414" s="170"/>
      <c r="C414" s="170"/>
      <c r="D414" s="170"/>
      <c r="E414" s="170"/>
      <c r="F414" s="170"/>
    </row>
    <row r="415">
      <c r="A415" s="170"/>
      <c r="B415" s="170"/>
      <c r="C415" s="170"/>
      <c r="D415" s="170"/>
      <c r="E415" s="170"/>
      <c r="F415" s="170"/>
    </row>
    <row r="416">
      <c r="A416" s="170"/>
      <c r="B416" s="170"/>
      <c r="C416" s="170"/>
      <c r="D416" s="170"/>
      <c r="E416" s="170"/>
      <c r="F416" s="170"/>
    </row>
    <row r="417">
      <c r="A417" s="170"/>
      <c r="B417" s="170"/>
      <c r="C417" s="170"/>
      <c r="D417" s="170"/>
      <c r="E417" s="170"/>
      <c r="F417" s="170"/>
    </row>
    <row r="418">
      <c r="A418" s="170"/>
      <c r="B418" s="170"/>
      <c r="C418" s="170"/>
      <c r="D418" s="170"/>
      <c r="E418" s="170"/>
      <c r="F418" s="170"/>
    </row>
    <row r="419">
      <c r="A419" s="170"/>
      <c r="B419" s="170"/>
      <c r="C419" s="170"/>
      <c r="D419" s="170"/>
      <c r="E419" s="170"/>
      <c r="F419" s="170"/>
    </row>
    <row r="420">
      <c r="A420" s="170"/>
      <c r="B420" s="170"/>
      <c r="C420" s="170"/>
      <c r="D420" s="170"/>
      <c r="E420" s="170"/>
      <c r="F420" s="170"/>
    </row>
    <row r="421">
      <c r="A421" s="170"/>
      <c r="B421" s="170"/>
      <c r="C421" s="170"/>
      <c r="D421" s="170"/>
      <c r="E421" s="170"/>
      <c r="F421" s="170"/>
    </row>
    <row r="422">
      <c r="A422" s="170"/>
      <c r="B422" s="170"/>
      <c r="C422" s="170"/>
      <c r="D422" s="170"/>
      <c r="E422" s="170"/>
      <c r="F422" s="170"/>
    </row>
    <row r="423">
      <c r="A423" s="170"/>
      <c r="B423" s="170"/>
      <c r="C423" s="170"/>
      <c r="D423" s="170"/>
      <c r="E423" s="170"/>
      <c r="F423" s="170"/>
    </row>
    <row r="424">
      <c r="A424" s="170"/>
      <c r="B424" s="170"/>
      <c r="C424" s="170"/>
      <c r="D424" s="170"/>
      <c r="E424" s="170"/>
      <c r="F424" s="170"/>
    </row>
    <row r="425">
      <c r="A425" s="170"/>
      <c r="B425" s="170"/>
      <c r="C425" s="170"/>
      <c r="D425" s="170"/>
      <c r="E425" s="170"/>
      <c r="F425" s="170"/>
    </row>
    <row r="426">
      <c r="A426" s="170"/>
      <c r="B426" s="170"/>
      <c r="C426" s="170"/>
      <c r="D426" s="170"/>
      <c r="E426" s="170"/>
      <c r="F426" s="170"/>
    </row>
    <row r="427">
      <c r="A427" s="170"/>
      <c r="B427" s="170"/>
      <c r="C427" s="170"/>
      <c r="D427" s="170"/>
      <c r="E427" s="170"/>
      <c r="F427" s="170"/>
    </row>
    <row r="428">
      <c r="A428" s="170"/>
      <c r="B428" s="170"/>
      <c r="C428" s="170"/>
      <c r="D428" s="170"/>
      <c r="E428" s="170"/>
      <c r="F428" s="170"/>
    </row>
    <row r="429">
      <c r="A429" s="170"/>
      <c r="B429" s="170"/>
      <c r="C429" s="170"/>
      <c r="D429" s="170"/>
      <c r="E429" s="170"/>
      <c r="F429" s="170"/>
    </row>
    <row r="430">
      <c r="A430" s="170"/>
      <c r="B430" s="170"/>
      <c r="C430" s="170"/>
      <c r="D430" s="170"/>
      <c r="E430" s="170"/>
      <c r="F430" s="170"/>
    </row>
    <row r="431">
      <c r="A431" s="170"/>
      <c r="B431" s="170"/>
      <c r="C431" s="170"/>
      <c r="D431" s="170"/>
      <c r="E431" s="170"/>
      <c r="F431" s="170"/>
    </row>
    <row r="432">
      <c r="A432" s="170"/>
      <c r="B432" s="170"/>
      <c r="C432" s="170"/>
      <c r="D432" s="170"/>
      <c r="E432" s="170"/>
      <c r="F432" s="170"/>
    </row>
    <row r="433">
      <c r="A433" s="170"/>
      <c r="B433" s="170"/>
      <c r="C433" s="170"/>
      <c r="D433" s="170"/>
      <c r="E433" s="170"/>
      <c r="F433" s="170"/>
    </row>
    <row r="434">
      <c r="A434" s="170"/>
      <c r="B434" s="170"/>
      <c r="C434" s="170"/>
      <c r="D434" s="170"/>
      <c r="E434" s="170"/>
      <c r="F434" s="170"/>
    </row>
    <row r="435">
      <c r="A435" s="170"/>
      <c r="B435" s="170"/>
      <c r="C435" s="170"/>
      <c r="D435" s="170"/>
      <c r="E435" s="170"/>
      <c r="F435" s="170"/>
    </row>
    <row r="436">
      <c r="A436" s="170"/>
      <c r="B436" s="170"/>
      <c r="C436" s="170"/>
      <c r="D436" s="170"/>
      <c r="E436" s="170"/>
      <c r="F436" s="170"/>
    </row>
    <row r="437">
      <c r="A437" s="170"/>
      <c r="B437" s="170"/>
      <c r="C437" s="170"/>
      <c r="D437" s="170"/>
      <c r="E437" s="170"/>
      <c r="F437" s="170"/>
    </row>
    <row r="438">
      <c r="A438" s="170"/>
      <c r="B438" s="170"/>
      <c r="C438" s="170"/>
      <c r="D438" s="170"/>
      <c r="E438" s="170"/>
      <c r="F438" s="170"/>
    </row>
    <row r="439">
      <c r="A439" s="170"/>
      <c r="B439" s="170"/>
      <c r="C439" s="170"/>
      <c r="D439" s="170"/>
      <c r="E439" s="170"/>
      <c r="F439" s="170"/>
    </row>
    <row r="440">
      <c r="A440" s="170"/>
      <c r="B440" s="170"/>
      <c r="C440" s="170"/>
      <c r="D440" s="170"/>
      <c r="E440" s="170"/>
      <c r="F440" s="170"/>
    </row>
    <row r="441">
      <c r="A441" s="170"/>
      <c r="B441" s="170"/>
      <c r="C441" s="170"/>
      <c r="D441" s="170"/>
      <c r="E441" s="170"/>
      <c r="F441" s="170"/>
    </row>
    <row r="442">
      <c r="A442" s="170"/>
      <c r="B442" s="170"/>
      <c r="C442" s="170"/>
      <c r="D442" s="170"/>
      <c r="E442" s="170"/>
      <c r="F442" s="170"/>
    </row>
    <row r="443">
      <c r="A443" s="170"/>
      <c r="B443" s="170"/>
      <c r="C443" s="170"/>
      <c r="D443" s="170"/>
      <c r="E443" s="170"/>
      <c r="F443" s="170"/>
    </row>
    <row r="444">
      <c r="A444" s="170"/>
      <c r="B444" s="170"/>
      <c r="C444" s="170"/>
      <c r="D444" s="170"/>
      <c r="E444" s="170"/>
      <c r="F444" s="170"/>
    </row>
    <row r="445">
      <c r="A445" s="170"/>
      <c r="B445" s="170"/>
      <c r="C445" s="170"/>
      <c r="D445" s="170"/>
      <c r="E445" s="170"/>
      <c r="F445" s="170"/>
    </row>
    <row r="446">
      <c r="A446" s="170"/>
      <c r="B446" s="170"/>
      <c r="C446" s="170"/>
      <c r="D446" s="170"/>
      <c r="E446" s="170"/>
      <c r="F446" s="170"/>
    </row>
    <row r="447">
      <c r="A447" s="170"/>
      <c r="B447" s="170"/>
      <c r="C447" s="170"/>
      <c r="D447" s="170"/>
      <c r="E447" s="170"/>
      <c r="F447" s="170"/>
    </row>
    <row r="448">
      <c r="A448" s="170"/>
      <c r="B448" s="170"/>
      <c r="C448" s="170"/>
      <c r="D448" s="170"/>
      <c r="E448" s="170"/>
      <c r="F448" s="170"/>
    </row>
    <row r="449">
      <c r="A449" s="170"/>
      <c r="B449" s="170"/>
      <c r="C449" s="170"/>
      <c r="D449" s="170"/>
      <c r="E449" s="170"/>
      <c r="F449" s="170"/>
    </row>
    <row r="450">
      <c r="A450" s="170"/>
      <c r="B450" s="170"/>
      <c r="C450" s="170"/>
      <c r="D450" s="170"/>
      <c r="E450" s="170"/>
      <c r="F450" s="170"/>
    </row>
    <row r="451">
      <c r="A451" s="170"/>
      <c r="B451" s="170"/>
      <c r="C451" s="170"/>
      <c r="D451" s="170"/>
      <c r="E451" s="170"/>
      <c r="F451" s="170"/>
    </row>
    <row r="452">
      <c r="A452" s="170"/>
      <c r="B452" s="170"/>
      <c r="C452" s="170"/>
      <c r="D452" s="170"/>
      <c r="E452" s="170"/>
      <c r="F452" s="170"/>
    </row>
    <row r="453">
      <c r="A453" s="170"/>
      <c r="B453" s="170"/>
      <c r="C453" s="170"/>
      <c r="D453" s="170"/>
      <c r="E453" s="170"/>
      <c r="F453" s="170"/>
    </row>
    <row r="454">
      <c r="A454" s="170"/>
      <c r="B454" s="170"/>
      <c r="C454" s="170"/>
      <c r="D454" s="170"/>
      <c r="E454" s="170"/>
      <c r="F454" s="170"/>
    </row>
    <row r="455">
      <c r="A455" s="170"/>
      <c r="B455" s="170"/>
      <c r="C455" s="170"/>
      <c r="D455" s="170"/>
      <c r="E455" s="170"/>
      <c r="F455" s="170"/>
    </row>
    <row r="456">
      <c r="A456" s="170"/>
      <c r="B456" s="170"/>
      <c r="C456" s="170"/>
      <c r="D456" s="170"/>
      <c r="E456" s="170"/>
      <c r="F456" s="170"/>
    </row>
    <row r="457">
      <c r="A457" s="170"/>
      <c r="B457" s="170"/>
      <c r="C457" s="170"/>
      <c r="D457" s="170"/>
      <c r="E457" s="170"/>
      <c r="F457" s="170"/>
    </row>
    <row r="458">
      <c r="A458" s="170"/>
      <c r="B458" s="170"/>
      <c r="C458" s="170"/>
      <c r="D458" s="170"/>
      <c r="E458" s="170"/>
      <c r="F458" s="170"/>
    </row>
    <row r="459">
      <c r="A459" s="170"/>
      <c r="B459" s="170"/>
      <c r="C459" s="170"/>
      <c r="D459" s="170"/>
      <c r="E459" s="170"/>
      <c r="F459" s="170"/>
    </row>
    <row r="460">
      <c r="A460" s="170"/>
      <c r="B460" s="170"/>
      <c r="C460" s="170"/>
      <c r="D460" s="170"/>
      <c r="E460" s="170"/>
      <c r="F460" s="170"/>
    </row>
    <row r="461">
      <c r="A461" s="170"/>
      <c r="B461" s="170"/>
      <c r="C461" s="170"/>
      <c r="D461" s="170"/>
      <c r="E461" s="170"/>
      <c r="F461" s="170"/>
    </row>
    <row r="462">
      <c r="A462" s="170"/>
      <c r="B462" s="170"/>
      <c r="C462" s="170"/>
      <c r="D462" s="170"/>
      <c r="E462" s="170"/>
      <c r="F462" s="170"/>
    </row>
    <row r="463">
      <c r="A463" s="170"/>
      <c r="B463" s="170"/>
      <c r="C463" s="170"/>
      <c r="D463" s="170"/>
      <c r="E463" s="170"/>
      <c r="F463" s="170"/>
    </row>
    <row r="464">
      <c r="A464" s="170"/>
      <c r="B464" s="170"/>
      <c r="C464" s="170"/>
      <c r="D464" s="170"/>
      <c r="E464" s="170"/>
      <c r="F464" s="170"/>
    </row>
    <row r="465">
      <c r="A465" s="170"/>
      <c r="B465" s="170"/>
      <c r="C465" s="170"/>
      <c r="D465" s="170"/>
      <c r="E465" s="170"/>
      <c r="F465" s="170"/>
    </row>
    <row r="466">
      <c r="A466" s="170"/>
      <c r="B466" s="170"/>
      <c r="C466" s="170"/>
      <c r="D466" s="170"/>
      <c r="E466" s="170"/>
      <c r="F466" s="170"/>
    </row>
    <row r="467">
      <c r="A467" s="170"/>
      <c r="B467" s="170"/>
      <c r="C467" s="170"/>
      <c r="D467" s="170"/>
      <c r="E467" s="170"/>
      <c r="F467" s="170"/>
    </row>
    <row r="468">
      <c r="A468" s="170"/>
      <c r="B468" s="170"/>
      <c r="C468" s="170"/>
      <c r="D468" s="170"/>
      <c r="E468" s="170"/>
      <c r="F468" s="170"/>
    </row>
    <row r="469">
      <c r="A469" s="170"/>
      <c r="B469" s="170"/>
      <c r="C469" s="170"/>
      <c r="D469" s="170"/>
      <c r="E469" s="170"/>
      <c r="F469" s="170"/>
    </row>
    <row r="470">
      <c r="A470" s="170"/>
      <c r="B470" s="170"/>
      <c r="C470" s="170"/>
      <c r="D470" s="170"/>
      <c r="E470" s="170"/>
      <c r="F470" s="170"/>
    </row>
    <row r="471">
      <c r="A471" s="170"/>
      <c r="B471" s="170"/>
      <c r="C471" s="170"/>
      <c r="D471" s="170"/>
      <c r="E471" s="170"/>
      <c r="F471" s="170"/>
    </row>
    <row r="472">
      <c r="A472" s="170"/>
      <c r="B472" s="170"/>
      <c r="C472" s="170"/>
      <c r="D472" s="170"/>
      <c r="E472" s="170"/>
      <c r="F472" s="170"/>
    </row>
    <row r="473">
      <c r="A473" s="170"/>
      <c r="B473" s="170"/>
      <c r="C473" s="170"/>
      <c r="D473" s="170"/>
      <c r="E473" s="170"/>
      <c r="F473" s="170"/>
    </row>
    <row r="474">
      <c r="A474" s="170"/>
      <c r="B474" s="170"/>
      <c r="C474" s="170"/>
      <c r="D474" s="170"/>
      <c r="E474" s="170"/>
      <c r="F474" s="170"/>
    </row>
    <row r="475">
      <c r="A475" s="170"/>
      <c r="B475" s="170"/>
      <c r="C475" s="170"/>
      <c r="D475" s="170"/>
      <c r="E475" s="170"/>
      <c r="F475" s="170"/>
    </row>
    <row r="476">
      <c r="A476" s="170"/>
      <c r="B476" s="170"/>
      <c r="C476" s="170"/>
      <c r="D476" s="170"/>
      <c r="E476" s="170"/>
      <c r="F476" s="170"/>
    </row>
    <row r="477">
      <c r="A477" s="170"/>
      <c r="B477" s="170"/>
      <c r="C477" s="170"/>
      <c r="D477" s="170"/>
      <c r="E477" s="170"/>
      <c r="F477" s="170"/>
    </row>
    <row r="478">
      <c r="A478" s="170"/>
      <c r="B478" s="170"/>
      <c r="C478" s="170"/>
      <c r="D478" s="170"/>
      <c r="E478" s="170"/>
      <c r="F478" s="170"/>
    </row>
    <row r="479">
      <c r="A479" s="170"/>
      <c r="B479" s="170"/>
      <c r="C479" s="170"/>
      <c r="D479" s="170"/>
      <c r="E479" s="170"/>
      <c r="F479" s="170"/>
    </row>
    <row r="480">
      <c r="A480" s="170"/>
      <c r="B480" s="170"/>
      <c r="C480" s="170"/>
      <c r="D480" s="170"/>
      <c r="E480" s="170"/>
      <c r="F480" s="170"/>
    </row>
    <row r="481">
      <c r="A481" s="170"/>
      <c r="B481" s="170"/>
      <c r="C481" s="170"/>
      <c r="D481" s="170"/>
      <c r="E481" s="170"/>
      <c r="F481" s="170"/>
    </row>
    <row r="482">
      <c r="A482" s="170"/>
      <c r="B482" s="170"/>
      <c r="C482" s="170"/>
      <c r="D482" s="170"/>
      <c r="E482" s="170"/>
      <c r="F482" s="170"/>
    </row>
    <row r="483">
      <c r="A483" s="170"/>
      <c r="B483" s="170"/>
      <c r="C483" s="170"/>
      <c r="D483" s="170"/>
      <c r="E483" s="170"/>
      <c r="F483" s="170"/>
    </row>
    <row r="484">
      <c r="A484" s="170"/>
      <c r="B484" s="170"/>
      <c r="C484" s="170"/>
      <c r="D484" s="170"/>
      <c r="E484" s="170"/>
      <c r="F484" s="170"/>
    </row>
    <row r="485">
      <c r="A485" s="170"/>
      <c r="B485" s="170"/>
      <c r="C485" s="170"/>
      <c r="D485" s="170"/>
      <c r="E485" s="170"/>
      <c r="F485" s="170"/>
    </row>
    <row r="486">
      <c r="A486" s="170"/>
      <c r="B486" s="170"/>
      <c r="C486" s="170"/>
      <c r="D486" s="170"/>
      <c r="E486" s="170"/>
      <c r="F486" s="170"/>
    </row>
    <row r="487">
      <c r="A487" s="170"/>
      <c r="B487" s="170"/>
      <c r="C487" s="170"/>
      <c r="D487" s="170"/>
      <c r="E487" s="170"/>
      <c r="F487" s="170"/>
    </row>
    <row r="488">
      <c r="A488" s="170"/>
      <c r="B488" s="170"/>
      <c r="C488" s="170"/>
      <c r="D488" s="170"/>
      <c r="E488" s="170"/>
      <c r="F488" s="170"/>
    </row>
    <row r="489">
      <c r="A489" s="170"/>
      <c r="B489" s="170"/>
      <c r="C489" s="170"/>
      <c r="D489" s="170"/>
      <c r="E489" s="170"/>
      <c r="F489" s="170"/>
    </row>
    <row r="490">
      <c r="A490" s="170"/>
      <c r="B490" s="170"/>
      <c r="C490" s="170"/>
      <c r="D490" s="170"/>
      <c r="E490" s="170"/>
      <c r="F490" s="170"/>
    </row>
    <row r="491">
      <c r="A491" s="170"/>
      <c r="B491" s="170"/>
      <c r="C491" s="170"/>
      <c r="D491" s="170"/>
      <c r="E491" s="170"/>
      <c r="F491" s="170"/>
    </row>
    <row r="492">
      <c r="A492" s="170"/>
      <c r="B492" s="170"/>
      <c r="C492" s="170"/>
      <c r="D492" s="170"/>
      <c r="E492" s="170"/>
      <c r="F492" s="170"/>
    </row>
    <row r="493">
      <c r="A493" s="170"/>
      <c r="B493" s="170"/>
      <c r="C493" s="170"/>
      <c r="D493" s="170"/>
      <c r="E493" s="170"/>
      <c r="F493" s="170"/>
    </row>
    <row r="494">
      <c r="A494" s="170"/>
      <c r="B494" s="170"/>
      <c r="C494" s="170"/>
      <c r="D494" s="170"/>
      <c r="E494" s="170"/>
      <c r="F494" s="170"/>
    </row>
    <row r="495">
      <c r="A495" s="170"/>
      <c r="B495" s="170"/>
      <c r="C495" s="170"/>
      <c r="D495" s="170"/>
      <c r="E495" s="170"/>
      <c r="F495" s="170"/>
    </row>
    <row r="496">
      <c r="A496" s="170"/>
      <c r="B496" s="170"/>
      <c r="C496" s="170"/>
      <c r="D496" s="170"/>
      <c r="E496" s="170"/>
      <c r="F496" s="170"/>
    </row>
    <row r="497">
      <c r="A497" s="170"/>
      <c r="B497" s="170"/>
      <c r="C497" s="170"/>
      <c r="D497" s="170"/>
      <c r="E497" s="170"/>
      <c r="F497" s="170"/>
    </row>
    <row r="498">
      <c r="A498" s="170"/>
      <c r="B498" s="170"/>
      <c r="C498" s="170"/>
      <c r="D498" s="170"/>
      <c r="E498" s="170"/>
      <c r="F498" s="170"/>
    </row>
    <row r="499">
      <c r="A499" s="170"/>
      <c r="B499" s="170"/>
      <c r="C499" s="170"/>
      <c r="D499" s="170"/>
      <c r="E499" s="170"/>
      <c r="F499" s="170"/>
    </row>
    <row r="500">
      <c r="A500" s="170"/>
      <c r="B500" s="170"/>
      <c r="C500" s="170"/>
      <c r="D500" s="170"/>
      <c r="E500" s="170"/>
      <c r="F500" s="170"/>
    </row>
    <row r="501">
      <c r="A501" s="170"/>
      <c r="B501" s="170"/>
      <c r="C501" s="170"/>
      <c r="D501" s="170"/>
      <c r="E501" s="170"/>
      <c r="F501" s="170"/>
    </row>
    <row r="502">
      <c r="A502" s="170"/>
      <c r="B502" s="170"/>
      <c r="C502" s="170"/>
      <c r="D502" s="170"/>
      <c r="E502" s="170"/>
      <c r="F502" s="170"/>
    </row>
    <row r="503">
      <c r="A503" s="170"/>
      <c r="B503" s="170"/>
      <c r="C503" s="170"/>
      <c r="D503" s="170"/>
      <c r="E503" s="170"/>
      <c r="F503" s="170"/>
    </row>
    <row r="504">
      <c r="A504" s="170"/>
      <c r="B504" s="170"/>
      <c r="C504" s="170"/>
      <c r="D504" s="170"/>
      <c r="E504" s="170"/>
      <c r="F504" s="170"/>
    </row>
    <row r="505">
      <c r="A505" s="170"/>
      <c r="B505" s="170"/>
      <c r="C505" s="170"/>
      <c r="D505" s="170"/>
      <c r="E505" s="170"/>
      <c r="F505" s="170"/>
    </row>
    <row r="506">
      <c r="A506" s="170"/>
      <c r="B506" s="170"/>
      <c r="C506" s="170"/>
      <c r="D506" s="170"/>
      <c r="E506" s="170"/>
      <c r="F506" s="170"/>
    </row>
    <row r="507">
      <c r="A507" s="170"/>
      <c r="B507" s="170"/>
      <c r="C507" s="170"/>
      <c r="D507" s="170"/>
      <c r="E507" s="170"/>
      <c r="F507" s="170"/>
    </row>
    <row r="508">
      <c r="A508" s="170"/>
      <c r="B508" s="170"/>
      <c r="C508" s="170"/>
      <c r="D508" s="170"/>
      <c r="E508" s="170"/>
      <c r="F508" s="170"/>
    </row>
    <row r="509">
      <c r="A509" s="170"/>
      <c r="B509" s="170"/>
      <c r="C509" s="170"/>
      <c r="D509" s="170"/>
      <c r="E509" s="170"/>
      <c r="F509" s="170"/>
    </row>
    <row r="510">
      <c r="A510" s="170"/>
      <c r="B510" s="170"/>
      <c r="C510" s="170"/>
      <c r="D510" s="170"/>
      <c r="E510" s="170"/>
      <c r="F510" s="170"/>
    </row>
    <row r="511">
      <c r="A511" s="170"/>
      <c r="B511" s="170"/>
      <c r="C511" s="170"/>
      <c r="D511" s="170"/>
      <c r="E511" s="170"/>
      <c r="F511" s="170"/>
    </row>
    <row r="512">
      <c r="A512" s="170"/>
      <c r="B512" s="170"/>
      <c r="C512" s="170"/>
      <c r="D512" s="170"/>
      <c r="E512" s="170"/>
      <c r="F512" s="170"/>
    </row>
    <row r="513">
      <c r="A513" s="170"/>
      <c r="B513" s="170"/>
      <c r="C513" s="170"/>
      <c r="D513" s="170"/>
      <c r="E513" s="170"/>
      <c r="F513" s="170"/>
    </row>
    <row r="514">
      <c r="A514" s="170"/>
      <c r="B514" s="170"/>
      <c r="C514" s="170"/>
      <c r="D514" s="170"/>
      <c r="E514" s="170"/>
      <c r="F514" s="170"/>
    </row>
    <row r="515">
      <c r="A515" s="170"/>
      <c r="B515" s="170"/>
      <c r="C515" s="170"/>
      <c r="D515" s="170"/>
      <c r="E515" s="170"/>
      <c r="F515" s="170"/>
    </row>
    <row r="516">
      <c r="A516" s="170"/>
      <c r="B516" s="170"/>
      <c r="C516" s="170"/>
      <c r="D516" s="170"/>
      <c r="E516" s="170"/>
      <c r="F516" s="170"/>
    </row>
    <row r="517">
      <c r="A517" s="170"/>
      <c r="B517" s="170"/>
      <c r="C517" s="170"/>
      <c r="D517" s="170"/>
      <c r="E517" s="170"/>
      <c r="F517" s="170"/>
    </row>
    <row r="518">
      <c r="A518" s="170"/>
      <c r="B518" s="170"/>
      <c r="C518" s="170"/>
      <c r="D518" s="170"/>
      <c r="E518" s="170"/>
      <c r="F518" s="170"/>
    </row>
    <row r="519">
      <c r="A519" s="170"/>
      <c r="B519" s="170"/>
      <c r="C519" s="170"/>
      <c r="D519" s="170"/>
      <c r="E519" s="170"/>
      <c r="F519" s="170"/>
    </row>
    <row r="520">
      <c r="A520" s="170"/>
      <c r="B520" s="170"/>
      <c r="C520" s="170"/>
      <c r="D520" s="170"/>
      <c r="E520" s="170"/>
      <c r="F520" s="170"/>
    </row>
    <row r="521">
      <c r="A521" s="170"/>
      <c r="B521" s="170"/>
      <c r="C521" s="170"/>
      <c r="D521" s="170"/>
      <c r="E521" s="170"/>
      <c r="F521" s="170"/>
    </row>
    <row r="522">
      <c r="A522" s="170"/>
      <c r="B522" s="170"/>
      <c r="C522" s="170"/>
      <c r="D522" s="170"/>
      <c r="E522" s="170"/>
      <c r="F522" s="170"/>
    </row>
    <row r="523">
      <c r="A523" s="170"/>
      <c r="B523" s="170"/>
      <c r="C523" s="170"/>
      <c r="D523" s="170"/>
      <c r="E523" s="170"/>
      <c r="F523" s="170"/>
    </row>
    <row r="524">
      <c r="A524" s="170"/>
      <c r="B524" s="170"/>
      <c r="C524" s="170"/>
      <c r="D524" s="170"/>
      <c r="E524" s="170"/>
      <c r="F524" s="170"/>
    </row>
    <row r="525">
      <c r="A525" s="170"/>
      <c r="B525" s="170"/>
      <c r="C525" s="170"/>
      <c r="D525" s="170"/>
      <c r="E525" s="170"/>
      <c r="F525" s="170"/>
    </row>
    <row r="526">
      <c r="A526" s="170"/>
      <c r="B526" s="170"/>
      <c r="C526" s="170"/>
      <c r="D526" s="170"/>
      <c r="E526" s="170"/>
      <c r="F526" s="170"/>
    </row>
    <row r="527">
      <c r="A527" s="170"/>
      <c r="B527" s="170"/>
      <c r="C527" s="170"/>
      <c r="D527" s="170"/>
      <c r="E527" s="170"/>
      <c r="F527" s="170"/>
    </row>
    <row r="528">
      <c r="A528" s="170"/>
      <c r="B528" s="170"/>
      <c r="C528" s="170"/>
      <c r="D528" s="170"/>
      <c r="E528" s="170"/>
      <c r="F528" s="170"/>
    </row>
    <row r="529">
      <c r="A529" s="170"/>
      <c r="B529" s="170"/>
      <c r="C529" s="170"/>
      <c r="D529" s="170"/>
      <c r="E529" s="170"/>
      <c r="F529" s="170"/>
    </row>
    <row r="530">
      <c r="A530" s="170"/>
      <c r="B530" s="170"/>
      <c r="C530" s="170"/>
      <c r="D530" s="170"/>
      <c r="E530" s="170"/>
      <c r="F530" s="170"/>
    </row>
    <row r="531">
      <c r="A531" s="170"/>
      <c r="B531" s="170"/>
      <c r="C531" s="170"/>
      <c r="D531" s="170"/>
      <c r="E531" s="170"/>
      <c r="F531" s="170"/>
    </row>
    <row r="532">
      <c r="A532" s="170"/>
      <c r="B532" s="170"/>
      <c r="C532" s="170"/>
      <c r="D532" s="170"/>
      <c r="E532" s="170"/>
      <c r="F532" s="170"/>
    </row>
    <row r="533">
      <c r="A533" s="170"/>
      <c r="B533" s="170"/>
      <c r="C533" s="170"/>
      <c r="D533" s="170"/>
      <c r="E533" s="170"/>
      <c r="F533" s="170"/>
    </row>
    <row r="534">
      <c r="A534" s="170"/>
      <c r="B534" s="170"/>
      <c r="C534" s="170"/>
      <c r="D534" s="170"/>
      <c r="E534" s="170"/>
      <c r="F534" s="170"/>
    </row>
    <row r="535">
      <c r="A535" s="170"/>
      <c r="B535" s="170"/>
      <c r="C535" s="170"/>
      <c r="D535" s="170"/>
      <c r="E535" s="170"/>
      <c r="F535" s="170"/>
    </row>
    <row r="536">
      <c r="A536" s="170"/>
      <c r="B536" s="170"/>
      <c r="C536" s="170"/>
      <c r="D536" s="170"/>
      <c r="E536" s="170"/>
      <c r="F536" s="170"/>
    </row>
    <row r="537">
      <c r="A537" s="170"/>
      <c r="B537" s="170"/>
      <c r="C537" s="170"/>
      <c r="D537" s="170"/>
      <c r="E537" s="170"/>
      <c r="F537" s="170"/>
    </row>
    <row r="538">
      <c r="A538" s="170"/>
      <c r="B538" s="170"/>
      <c r="C538" s="170"/>
      <c r="D538" s="170"/>
      <c r="E538" s="170"/>
      <c r="F538" s="170"/>
    </row>
    <row r="539">
      <c r="A539" s="170"/>
      <c r="B539" s="170"/>
      <c r="C539" s="170"/>
      <c r="D539" s="170"/>
      <c r="E539" s="170"/>
      <c r="F539" s="170"/>
    </row>
    <row r="540">
      <c r="A540" s="170"/>
      <c r="B540" s="170"/>
      <c r="C540" s="170"/>
      <c r="D540" s="170"/>
      <c r="E540" s="170"/>
      <c r="F540" s="170"/>
    </row>
    <row r="541">
      <c r="A541" s="170"/>
      <c r="B541" s="170"/>
      <c r="C541" s="170"/>
      <c r="D541" s="170"/>
      <c r="E541" s="170"/>
      <c r="F541" s="170"/>
    </row>
    <row r="542">
      <c r="A542" s="170"/>
      <c r="B542" s="170"/>
      <c r="C542" s="170"/>
      <c r="D542" s="170"/>
      <c r="E542" s="170"/>
      <c r="F542" s="170"/>
    </row>
    <row r="543">
      <c r="A543" s="170"/>
      <c r="B543" s="170"/>
      <c r="C543" s="170"/>
      <c r="D543" s="170"/>
      <c r="E543" s="170"/>
      <c r="F543" s="170"/>
    </row>
    <row r="544">
      <c r="A544" s="170"/>
      <c r="B544" s="170"/>
      <c r="C544" s="170"/>
      <c r="D544" s="170"/>
      <c r="E544" s="170"/>
      <c r="F544" s="170"/>
    </row>
    <row r="545">
      <c r="A545" s="170"/>
      <c r="B545" s="170"/>
      <c r="C545" s="170"/>
      <c r="D545" s="170"/>
      <c r="E545" s="170"/>
      <c r="F545" s="170"/>
    </row>
    <row r="546">
      <c r="A546" s="170"/>
      <c r="B546" s="170"/>
      <c r="C546" s="170"/>
      <c r="D546" s="170"/>
      <c r="E546" s="170"/>
      <c r="F546" s="170"/>
    </row>
    <row r="547">
      <c r="A547" s="170"/>
      <c r="B547" s="170"/>
      <c r="C547" s="170"/>
      <c r="D547" s="170"/>
      <c r="E547" s="170"/>
      <c r="F547" s="170"/>
    </row>
    <row r="548">
      <c r="A548" s="170"/>
      <c r="B548" s="170"/>
      <c r="C548" s="170"/>
      <c r="D548" s="170"/>
      <c r="E548" s="170"/>
      <c r="F548" s="170"/>
    </row>
    <row r="549">
      <c r="A549" s="170"/>
      <c r="B549" s="170"/>
      <c r="C549" s="170"/>
      <c r="D549" s="170"/>
      <c r="E549" s="170"/>
      <c r="F549" s="170"/>
    </row>
    <row r="550">
      <c r="A550" s="170"/>
      <c r="B550" s="170"/>
      <c r="C550" s="170"/>
      <c r="D550" s="170"/>
      <c r="E550" s="170"/>
      <c r="F550" s="170"/>
    </row>
    <row r="551">
      <c r="A551" s="170"/>
      <c r="B551" s="170"/>
      <c r="C551" s="170"/>
      <c r="D551" s="170"/>
      <c r="E551" s="170"/>
      <c r="F551" s="170"/>
    </row>
    <row r="552">
      <c r="A552" s="170"/>
      <c r="B552" s="170"/>
      <c r="C552" s="170"/>
      <c r="D552" s="170"/>
      <c r="E552" s="170"/>
      <c r="F552" s="170"/>
    </row>
    <row r="553">
      <c r="A553" s="170"/>
      <c r="B553" s="170"/>
      <c r="C553" s="170"/>
      <c r="D553" s="170"/>
      <c r="E553" s="170"/>
      <c r="F553" s="170"/>
    </row>
    <row r="554">
      <c r="A554" s="170"/>
      <c r="B554" s="170"/>
      <c r="C554" s="170"/>
      <c r="D554" s="170"/>
      <c r="E554" s="170"/>
      <c r="F554" s="170"/>
    </row>
    <row r="555">
      <c r="A555" s="170"/>
      <c r="B555" s="170"/>
      <c r="C555" s="170"/>
      <c r="D555" s="170"/>
      <c r="E555" s="170"/>
      <c r="F555" s="170"/>
    </row>
    <row r="556">
      <c r="A556" s="170"/>
      <c r="B556" s="170"/>
      <c r="C556" s="170"/>
      <c r="D556" s="170"/>
      <c r="E556" s="170"/>
      <c r="F556" s="170"/>
    </row>
    <row r="557">
      <c r="A557" s="170"/>
      <c r="B557" s="170"/>
      <c r="C557" s="170"/>
      <c r="D557" s="170"/>
      <c r="E557" s="170"/>
      <c r="F557" s="170"/>
    </row>
    <row r="558">
      <c r="A558" s="170"/>
      <c r="B558" s="170"/>
      <c r="C558" s="170"/>
      <c r="D558" s="170"/>
      <c r="E558" s="170"/>
      <c r="F558" s="170"/>
    </row>
    <row r="559">
      <c r="A559" s="170"/>
      <c r="B559" s="170"/>
      <c r="C559" s="170"/>
      <c r="D559" s="170"/>
      <c r="E559" s="170"/>
      <c r="F559" s="170"/>
    </row>
    <row r="560">
      <c r="A560" s="170"/>
      <c r="B560" s="170"/>
      <c r="C560" s="170"/>
      <c r="D560" s="170"/>
      <c r="E560" s="170"/>
      <c r="F560" s="170"/>
    </row>
    <row r="561">
      <c r="A561" s="170"/>
      <c r="B561" s="170"/>
      <c r="C561" s="170"/>
      <c r="D561" s="170"/>
      <c r="E561" s="170"/>
      <c r="F561" s="170"/>
    </row>
    <row r="562">
      <c r="A562" s="170"/>
      <c r="B562" s="170"/>
      <c r="C562" s="170"/>
      <c r="D562" s="170"/>
      <c r="E562" s="170"/>
      <c r="F562" s="170"/>
    </row>
    <row r="563">
      <c r="A563" s="170"/>
      <c r="B563" s="170"/>
      <c r="C563" s="170"/>
      <c r="D563" s="170"/>
      <c r="E563" s="170"/>
      <c r="F563" s="170"/>
    </row>
    <row r="564">
      <c r="A564" s="170"/>
      <c r="B564" s="170"/>
      <c r="C564" s="170"/>
      <c r="D564" s="170"/>
      <c r="E564" s="170"/>
      <c r="F564" s="170"/>
    </row>
    <row r="565">
      <c r="A565" s="170"/>
      <c r="B565" s="170"/>
      <c r="C565" s="170"/>
      <c r="D565" s="170"/>
      <c r="E565" s="170"/>
      <c r="F565" s="170"/>
    </row>
    <row r="566">
      <c r="A566" s="170"/>
      <c r="B566" s="170"/>
      <c r="C566" s="170"/>
      <c r="D566" s="170"/>
      <c r="E566" s="170"/>
      <c r="F566" s="170"/>
    </row>
    <row r="567">
      <c r="A567" s="170"/>
      <c r="B567" s="170"/>
      <c r="C567" s="170"/>
      <c r="D567" s="170"/>
      <c r="E567" s="170"/>
      <c r="F567" s="170"/>
    </row>
    <row r="568">
      <c r="A568" s="170"/>
      <c r="B568" s="170"/>
      <c r="C568" s="170"/>
      <c r="D568" s="170"/>
      <c r="E568" s="170"/>
      <c r="F568" s="170"/>
    </row>
    <row r="569">
      <c r="A569" s="170"/>
      <c r="B569" s="170"/>
      <c r="C569" s="170"/>
      <c r="D569" s="170"/>
      <c r="E569" s="170"/>
      <c r="F569" s="170"/>
    </row>
    <row r="570">
      <c r="A570" s="170"/>
      <c r="B570" s="170"/>
      <c r="C570" s="170"/>
      <c r="D570" s="170"/>
      <c r="E570" s="170"/>
      <c r="F570" s="170"/>
    </row>
    <row r="571">
      <c r="A571" s="170"/>
      <c r="B571" s="170"/>
      <c r="C571" s="170"/>
      <c r="D571" s="170"/>
      <c r="E571" s="170"/>
      <c r="F571" s="170"/>
    </row>
    <row r="572">
      <c r="A572" s="170"/>
      <c r="B572" s="170"/>
      <c r="C572" s="170"/>
      <c r="D572" s="170"/>
      <c r="E572" s="170"/>
      <c r="F572" s="170"/>
    </row>
    <row r="573">
      <c r="A573" s="170"/>
      <c r="B573" s="170"/>
      <c r="C573" s="170"/>
      <c r="D573" s="170"/>
      <c r="E573" s="170"/>
      <c r="F573" s="170"/>
    </row>
    <row r="574">
      <c r="A574" s="170"/>
      <c r="B574" s="170"/>
      <c r="C574" s="170"/>
      <c r="D574" s="170"/>
      <c r="E574" s="170"/>
      <c r="F574" s="170"/>
    </row>
    <row r="575">
      <c r="A575" s="170"/>
      <c r="B575" s="170"/>
      <c r="C575" s="170"/>
      <c r="D575" s="170"/>
      <c r="E575" s="170"/>
      <c r="F575" s="170"/>
    </row>
    <row r="576">
      <c r="A576" s="170"/>
      <c r="B576" s="170"/>
      <c r="C576" s="170"/>
      <c r="D576" s="170"/>
      <c r="E576" s="170"/>
      <c r="F576" s="170"/>
    </row>
    <row r="577">
      <c r="A577" s="170"/>
      <c r="B577" s="170"/>
      <c r="C577" s="170"/>
      <c r="D577" s="170"/>
      <c r="E577" s="170"/>
      <c r="F577" s="170"/>
    </row>
    <row r="578">
      <c r="A578" s="170"/>
      <c r="B578" s="170"/>
      <c r="C578" s="170"/>
      <c r="D578" s="170"/>
      <c r="E578" s="170"/>
      <c r="F578" s="170"/>
    </row>
    <row r="579">
      <c r="A579" s="170"/>
      <c r="B579" s="170"/>
      <c r="C579" s="170"/>
      <c r="D579" s="170"/>
      <c r="E579" s="170"/>
      <c r="F579" s="170"/>
    </row>
    <row r="580">
      <c r="A580" s="170"/>
      <c r="B580" s="170"/>
      <c r="C580" s="170"/>
      <c r="D580" s="170"/>
      <c r="E580" s="170"/>
      <c r="F580" s="170"/>
    </row>
    <row r="581">
      <c r="A581" s="170"/>
      <c r="B581" s="170"/>
      <c r="C581" s="170"/>
      <c r="D581" s="170"/>
      <c r="E581" s="170"/>
      <c r="F581" s="170"/>
    </row>
    <row r="582">
      <c r="A582" s="170"/>
      <c r="B582" s="170"/>
      <c r="C582" s="170"/>
      <c r="D582" s="170"/>
      <c r="E582" s="170"/>
      <c r="F582" s="170"/>
    </row>
    <row r="583">
      <c r="A583" s="170"/>
      <c r="B583" s="170"/>
      <c r="C583" s="170"/>
      <c r="D583" s="170"/>
      <c r="E583" s="170"/>
      <c r="F583" s="170"/>
    </row>
    <row r="584">
      <c r="A584" s="170"/>
      <c r="B584" s="170"/>
      <c r="C584" s="170"/>
      <c r="D584" s="170"/>
      <c r="E584" s="170"/>
      <c r="F584" s="170"/>
    </row>
    <row r="585">
      <c r="A585" s="170"/>
      <c r="B585" s="170"/>
      <c r="C585" s="170"/>
      <c r="D585" s="170"/>
      <c r="E585" s="170"/>
      <c r="F585" s="170"/>
    </row>
    <row r="586">
      <c r="A586" s="170"/>
      <c r="B586" s="170"/>
      <c r="C586" s="170"/>
      <c r="D586" s="170"/>
      <c r="E586" s="170"/>
      <c r="F586" s="170"/>
    </row>
    <row r="587">
      <c r="A587" s="170"/>
      <c r="B587" s="170"/>
      <c r="C587" s="170"/>
      <c r="D587" s="170"/>
      <c r="E587" s="170"/>
      <c r="F587" s="170"/>
    </row>
    <row r="588">
      <c r="A588" s="170"/>
      <c r="B588" s="170"/>
      <c r="C588" s="170"/>
      <c r="D588" s="170"/>
      <c r="E588" s="170"/>
      <c r="F588" s="170"/>
    </row>
    <row r="589">
      <c r="A589" s="170"/>
      <c r="B589" s="170"/>
      <c r="C589" s="170"/>
      <c r="D589" s="170"/>
      <c r="E589" s="170"/>
      <c r="F589" s="170"/>
    </row>
    <row r="590">
      <c r="A590" s="170"/>
      <c r="B590" s="170"/>
      <c r="C590" s="170"/>
      <c r="D590" s="170"/>
      <c r="E590" s="170"/>
      <c r="F590" s="170"/>
    </row>
    <row r="591">
      <c r="A591" s="170"/>
      <c r="B591" s="170"/>
      <c r="C591" s="170"/>
      <c r="D591" s="170"/>
      <c r="E591" s="170"/>
      <c r="F591" s="170"/>
    </row>
    <row r="592">
      <c r="A592" s="170"/>
      <c r="B592" s="170"/>
      <c r="C592" s="170"/>
      <c r="D592" s="170"/>
      <c r="E592" s="170"/>
      <c r="F592" s="170"/>
    </row>
    <row r="593">
      <c r="A593" s="170"/>
      <c r="B593" s="170"/>
      <c r="C593" s="170"/>
      <c r="D593" s="170"/>
      <c r="E593" s="170"/>
      <c r="F593" s="170"/>
    </row>
    <row r="594">
      <c r="A594" s="170"/>
      <c r="B594" s="170"/>
      <c r="C594" s="170"/>
      <c r="D594" s="170"/>
      <c r="E594" s="170"/>
      <c r="F594" s="170"/>
    </row>
    <row r="595">
      <c r="A595" s="170"/>
      <c r="B595" s="170"/>
      <c r="C595" s="170"/>
      <c r="D595" s="170"/>
      <c r="E595" s="170"/>
      <c r="F595" s="170"/>
    </row>
    <row r="596">
      <c r="A596" s="170"/>
      <c r="B596" s="170"/>
      <c r="C596" s="170"/>
      <c r="D596" s="170"/>
      <c r="E596" s="170"/>
      <c r="F596" s="170"/>
    </row>
    <row r="597">
      <c r="A597" s="170"/>
      <c r="B597" s="170"/>
      <c r="C597" s="170"/>
      <c r="D597" s="170"/>
      <c r="E597" s="170"/>
      <c r="F597" s="170"/>
    </row>
    <row r="598">
      <c r="A598" s="170"/>
      <c r="B598" s="170"/>
      <c r="C598" s="170"/>
      <c r="D598" s="170"/>
      <c r="E598" s="170"/>
      <c r="F598" s="170"/>
    </row>
    <row r="599">
      <c r="A599" s="170"/>
      <c r="B599" s="170"/>
      <c r="C599" s="170"/>
      <c r="D599" s="170"/>
      <c r="E599" s="170"/>
      <c r="F599" s="170"/>
    </row>
    <row r="600">
      <c r="A600" s="170"/>
      <c r="B600" s="170"/>
      <c r="C600" s="170"/>
      <c r="D600" s="170"/>
      <c r="E600" s="170"/>
      <c r="F600" s="170"/>
    </row>
    <row r="601">
      <c r="A601" s="170"/>
      <c r="B601" s="170"/>
      <c r="C601" s="170"/>
      <c r="D601" s="170"/>
      <c r="E601" s="170"/>
      <c r="F601" s="170"/>
    </row>
    <row r="602">
      <c r="A602" s="170"/>
      <c r="B602" s="170"/>
      <c r="C602" s="170"/>
      <c r="D602" s="170"/>
      <c r="E602" s="170"/>
      <c r="F602" s="170"/>
    </row>
    <row r="603">
      <c r="A603" s="170"/>
      <c r="B603" s="170"/>
      <c r="C603" s="170"/>
      <c r="D603" s="170"/>
      <c r="E603" s="170"/>
      <c r="F603" s="170"/>
    </row>
    <row r="604">
      <c r="A604" s="170"/>
      <c r="B604" s="170"/>
      <c r="C604" s="170"/>
      <c r="D604" s="170"/>
      <c r="E604" s="170"/>
      <c r="F604" s="170"/>
    </row>
    <row r="605">
      <c r="A605" s="170"/>
      <c r="B605" s="170"/>
      <c r="C605" s="170"/>
      <c r="D605" s="170"/>
      <c r="E605" s="170"/>
      <c r="F605" s="170"/>
    </row>
    <row r="606">
      <c r="A606" s="170"/>
      <c r="B606" s="170"/>
      <c r="C606" s="170"/>
      <c r="D606" s="170"/>
      <c r="E606" s="170"/>
      <c r="F606" s="170"/>
    </row>
    <row r="607">
      <c r="A607" s="170"/>
      <c r="B607" s="170"/>
      <c r="C607" s="170"/>
      <c r="D607" s="170"/>
      <c r="E607" s="170"/>
      <c r="F607" s="170"/>
    </row>
    <row r="608">
      <c r="A608" s="170"/>
      <c r="B608" s="170"/>
      <c r="C608" s="170"/>
      <c r="D608" s="170"/>
      <c r="E608" s="170"/>
      <c r="F608" s="170"/>
    </row>
    <row r="609">
      <c r="A609" s="170"/>
      <c r="B609" s="170"/>
      <c r="C609" s="170"/>
      <c r="D609" s="170"/>
      <c r="E609" s="170"/>
      <c r="F609" s="170"/>
    </row>
    <row r="610">
      <c r="A610" s="170"/>
      <c r="B610" s="170"/>
      <c r="C610" s="170"/>
      <c r="D610" s="170"/>
      <c r="E610" s="170"/>
      <c r="F610" s="170"/>
    </row>
    <row r="611">
      <c r="A611" s="170"/>
      <c r="B611" s="170"/>
      <c r="C611" s="170"/>
      <c r="D611" s="170"/>
      <c r="E611" s="170"/>
      <c r="F611" s="170"/>
    </row>
    <row r="612">
      <c r="A612" s="170"/>
      <c r="B612" s="170"/>
      <c r="C612" s="170"/>
      <c r="D612" s="170"/>
      <c r="E612" s="170"/>
      <c r="F612" s="170"/>
    </row>
    <row r="613">
      <c r="A613" s="170"/>
      <c r="B613" s="170"/>
      <c r="C613" s="170"/>
      <c r="D613" s="170"/>
      <c r="E613" s="170"/>
      <c r="F613" s="170"/>
    </row>
    <row r="614">
      <c r="A614" s="170"/>
      <c r="B614" s="170"/>
      <c r="C614" s="170"/>
      <c r="D614" s="170"/>
      <c r="E614" s="170"/>
      <c r="F614" s="170"/>
    </row>
    <row r="615">
      <c r="A615" s="170"/>
      <c r="B615" s="170"/>
      <c r="C615" s="170"/>
      <c r="D615" s="170"/>
      <c r="E615" s="170"/>
      <c r="F615" s="170"/>
    </row>
    <row r="616">
      <c r="A616" s="170"/>
      <c r="B616" s="170"/>
      <c r="C616" s="170"/>
      <c r="D616" s="170"/>
      <c r="E616" s="170"/>
      <c r="F616" s="170"/>
    </row>
    <row r="617">
      <c r="A617" s="170"/>
      <c r="B617" s="170"/>
      <c r="C617" s="170"/>
      <c r="D617" s="170"/>
      <c r="E617" s="170"/>
      <c r="F617" s="170"/>
    </row>
    <row r="618">
      <c r="A618" s="170"/>
      <c r="B618" s="170"/>
      <c r="C618" s="170"/>
      <c r="D618" s="170"/>
      <c r="E618" s="170"/>
      <c r="F618" s="170"/>
    </row>
    <row r="619">
      <c r="A619" s="170"/>
      <c r="B619" s="170"/>
      <c r="C619" s="170"/>
      <c r="D619" s="170"/>
      <c r="E619" s="170"/>
      <c r="F619" s="170"/>
    </row>
    <row r="620">
      <c r="A620" s="170"/>
      <c r="B620" s="170"/>
      <c r="C620" s="170"/>
      <c r="D620" s="170"/>
      <c r="E620" s="170"/>
      <c r="F620" s="170"/>
    </row>
    <row r="621">
      <c r="A621" s="170"/>
      <c r="B621" s="170"/>
      <c r="C621" s="170"/>
      <c r="D621" s="170"/>
      <c r="E621" s="170"/>
      <c r="F621" s="170"/>
    </row>
    <row r="622">
      <c r="A622" s="170"/>
      <c r="B622" s="170"/>
      <c r="C622" s="170"/>
      <c r="D622" s="170"/>
      <c r="E622" s="170"/>
      <c r="F622" s="170"/>
    </row>
    <row r="623">
      <c r="A623" s="170"/>
      <c r="B623" s="170"/>
      <c r="C623" s="170"/>
      <c r="D623" s="170"/>
      <c r="E623" s="170"/>
      <c r="F623" s="170"/>
    </row>
    <row r="624">
      <c r="A624" s="170"/>
      <c r="B624" s="170"/>
      <c r="C624" s="170"/>
      <c r="D624" s="170"/>
      <c r="E624" s="170"/>
      <c r="F624" s="170"/>
    </row>
    <row r="625">
      <c r="A625" s="170"/>
      <c r="B625" s="170"/>
      <c r="C625" s="170"/>
      <c r="D625" s="170"/>
      <c r="E625" s="170"/>
      <c r="F625" s="170"/>
    </row>
    <row r="626">
      <c r="A626" s="170"/>
      <c r="B626" s="170"/>
      <c r="C626" s="170"/>
      <c r="D626" s="170"/>
      <c r="E626" s="170"/>
      <c r="F626" s="170"/>
    </row>
    <row r="627">
      <c r="A627" s="170"/>
      <c r="B627" s="170"/>
      <c r="C627" s="170"/>
      <c r="D627" s="170"/>
      <c r="E627" s="170"/>
      <c r="F627" s="170"/>
    </row>
    <row r="628">
      <c r="A628" s="170"/>
      <c r="B628" s="170"/>
      <c r="C628" s="170"/>
      <c r="D628" s="170"/>
      <c r="E628" s="170"/>
      <c r="F628" s="170"/>
    </row>
    <row r="629">
      <c r="A629" s="170"/>
      <c r="B629" s="170"/>
      <c r="C629" s="170"/>
      <c r="D629" s="170"/>
      <c r="E629" s="170"/>
      <c r="F629" s="170"/>
    </row>
    <row r="630">
      <c r="A630" s="170"/>
      <c r="B630" s="170"/>
      <c r="C630" s="170"/>
      <c r="D630" s="170"/>
      <c r="E630" s="170"/>
      <c r="F630" s="170"/>
    </row>
    <row r="631">
      <c r="A631" s="170"/>
      <c r="B631" s="170"/>
      <c r="C631" s="170"/>
      <c r="D631" s="170"/>
      <c r="E631" s="170"/>
      <c r="F631" s="170"/>
    </row>
    <row r="632">
      <c r="A632" s="170"/>
      <c r="B632" s="170"/>
      <c r="C632" s="170"/>
      <c r="D632" s="170"/>
      <c r="E632" s="170"/>
      <c r="F632" s="170"/>
    </row>
    <row r="633">
      <c r="A633" s="170"/>
      <c r="B633" s="170"/>
      <c r="C633" s="170"/>
      <c r="D633" s="170"/>
      <c r="E633" s="170"/>
      <c r="F633" s="170"/>
    </row>
    <row r="634">
      <c r="A634" s="170"/>
      <c r="B634" s="170"/>
      <c r="C634" s="170"/>
      <c r="D634" s="170"/>
      <c r="E634" s="170"/>
      <c r="F634" s="170"/>
    </row>
    <row r="635">
      <c r="A635" s="170"/>
      <c r="B635" s="170"/>
      <c r="C635" s="170"/>
      <c r="D635" s="170"/>
      <c r="E635" s="170"/>
      <c r="F635" s="170"/>
    </row>
    <row r="636">
      <c r="A636" s="170"/>
      <c r="B636" s="170"/>
      <c r="C636" s="170"/>
      <c r="D636" s="170"/>
      <c r="E636" s="170"/>
      <c r="F636" s="170"/>
    </row>
    <row r="637">
      <c r="A637" s="170"/>
      <c r="B637" s="170"/>
      <c r="C637" s="170"/>
      <c r="D637" s="170"/>
      <c r="E637" s="170"/>
      <c r="F637" s="170"/>
    </row>
    <row r="638">
      <c r="A638" s="170"/>
      <c r="B638" s="170"/>
      <c r="C638" s="170"/>
      <c r="D638" s="170"/>
      <c r="E638" s="170"/>
      <c r="F638" s="170"/>
    </row>
    <row r="639">
      <c r="A639" s="170"/>
      <c r="B639" s="170"/>
      <c r="C639" s="170"/>
      <c r="D639" s="170"/>
      <c r="E639" s="170"/>
      <c r="F639" s="170"/>
    </row>
    <row r="640">
      <c r="A640" s="170"/>
      <c r="B640" s="170"/>
      <c r="C640" s="170"/>
      <c r="D640" s="170"/>
      <c r="E640" s="170"/>
      <c r="F640" s="170"/>
    </row>
    <row r="641">
      <c r="A641" s="170"/>
      <c r="B641" s="170"/>
      <c r="C641" s="170"/>
      <c r="D641" s="170"/>
      <c r="E641" s="170"/>
      <c r="F641" s="170"/>
    </row>
    <row r="642">
      <c r="A642" s="170"/>
      <c r="B642" s="170"/>
      <c r="C642" s="170"/>
      <c r="D642" s="170"/>
      <c r="E642" s="170"/>
      <c r="F642" s="170"/>
    </row>
    <row r="643">
      <c r="A643" s="170"/>
      <c r="B643" s="170"/>
      <c r="C643" s="170"/>
      <c r="D643" s="170"/>
      <c r="E643" s="170"/>
      <c r="F643" s="170"/>
    </row>
    <row r="644">
      <c r="A644" s="170"/>
      <c r="B644" s="170"/>
      <c r="C644" s="170"/>
      <c r="D644" s="170"/>
      <c r="E644" s="170"/>
      <c r="F644" s="170"/>
    </row>
    <row r="645">
      <c r="A645" s="170"/>
      <c r="B645" s="170"/>
      <c r="C645" s="170"/>
      <c r="D645" s="170"/>
      <c r="E645" s="170"/>
      <c r="F645" s="170"/>
    </row>
    <row r="646">
      <c r="A646" s="170"/>
      <c r="B646" s="170"/>
      <c r="C646" s="170"/>
      <c r="D646" s="170"/>
      <c r="E646" s="170"/>
      <c r="F646" s="170"/>
    </row>
    <row r="647">
      <c r="A647" s="170"/>
      <c r="B647" s="170"/>
      <c r="C647" s="170"/>
      <c r="D647" s="170"/>
      <c r="E647" s="170"/>
      <c r="F647" s="170"/>
    </row>
    <row r="648">
      <c r="A648" s="170"/>
      <c r="B648" s="170"/>
      <c r="C648" s="170"/>
      <c r="D648" s="170"/>
      <c r="E648" s="170"/>
      <c r="F648" s="170"/>
    </row>
    <row r="649">
      <c r="A649" s="170"/>
      <c r="B649" s="170"/>
      <c r="C649" s="170"/>
      <c r="D649" s="170"/>
      <c r="E649" s="170"/>
      <c r="F649" s="170"/>
    </row>
    <row r="650">
      <c r="A650" s="170"/>
      <c r="B650" s="170"/>
      <c r="C650" s="170"/>
      <c r="D650" s="170"/>
      <c r="E650" s="170"/>
      <c r="F650" s="170"/>
    </row>
    <row r="651">
      <c r="A651" s="170"/>
      <c r="B651" s="170"/>
      <c r="C651" s="170"/>
      <c r="D651" s="170"/>
      <c r="E651" s="170"/>
      <c r="F651" s="170"/>
    </row>
    <row r="652">
      <c r="A652" s="170"/>
      <c r="B652" s="170"/>
      <c r="C652" s="170"/>
      <c r="D652" s="170"/>
      <c r="E652" s="170"/>
      <c r="F652" s="170"/>
    </row>
    <row r="653">
      <c r="A653" s="170"/>
      <c r="B653" s="170"/>
      <c r="C653" s="170"/>
      <c r="D653" s="170"/>
      <c r="E653" s="170"/>
      <c r="F653" s="170"/>
    </row>
    <row r="654">
      <c r="A654" s="170"/>
      <c r="B654" s="170"/>
      <c r="C654" s="170"/>
      <c r="D654" s="170"/>
      <c r="E654" s="170"/>
      <c r="F654" s="170"/>
    </row>
    <row r="655">
      <c r="A655" s="170"/>
      <c r="B655" s="170"/>
      <c r="C655" s="170"/>
      <c r="D655" s="170"/>
      <c r="E655" s="170"/>
      <c r="F655" s="170"/>
    </row>
    <row r="656">
      <c r="A656" s="170"/>
      <c r="B656" s="170"/>
      <c r="C656" s="170"/>
      <c r="D656" s="170"/>
      <c r="E656" s="170"/>
      <c r="F656" s="170"/>
    </row>
    <row r="657">
      <c r="A657" s="170"/>
      <c r="B657" s="170"/>
      <c r="C657" s="170"/>
      <c r="D657" s="170"/>
      <c r="E657" s="170"/>
      <c r="F657" s="170"/>
    </row>
    <row r="658">
      <c r="A658" s="170"/>
      <c r="B658" s="170"/>
      <c r="C658" s="170"/>
      <c r="D658" s="170"/>
      <c r="E658" s="170"/>
      <c r="F658" s="170"/>
    </row>
    <row r="659">
      <c r="A659" s="170"/>
      <c r="B659" s="170"/>
      <c r="C659" s="170"/>
      <c r="D659" s="170"/>
      <c r="E659" s="170"/>
      <c r="F659" s="170"/>
    </row>
    <row r="660">
      <c r="A660" s="170"/>
      <c r="B660" s="170"/>
      <c r="C660" s="170"/>
      <c r="D660" s="170"/>
      <c r="E660" s="170"/>
      <c r="F660" s="170"/>
    </row>
    <row r="661">
      <c r="A661" s="170"/>
      <c r="B661" s="170"/>
      <c r="C661" s="170"/>
      <c r="D661" s="170"/>
      <c r="E661" s="170"/>
      <c r="F661" s="170"/>
    </row>
    <row r="662">
      <c r="A662" s="170"/>
      <c r="B662" s="170"/>
      <c r="C662" s="170"/>
      <c r="D662" s="170"/>
      <c r="E662" s="170"/>
      <c r="F662" s="170"/>
    </row>
    <row r="663">
      <c r="A663" s="170"/>
      <c r="B663" s="170"/>
      <c r="C663" s="170"/>
      <c r="D663" s="170"/>
      <c r="E663" s="170"/>
      <c r="F663" s="170"/>
    </row>
    <row r="664">
      <c r="A664" s="170"/>
      <c r="B664" s="170"/>
      <c r="C664" s="170"/>
      <c r="D664" s="170"/>
      <c r="E664" s="170"/>
      <c r="F664" s="170"/>
    </row>
    <row r="665">
      <c r="A665" s="170"/>
      <c r="B665" s="170"/>
      <c r="C665" s="170"/>
      <c r="D665" s="170"/>
      <c r="E665" s="170"/>
      <c r="F665" s="170"/>
    </row>
    <row r="666">
      <c r="A666" s="170"/>
      <c r="B666" s="170"/>
      <c r="C666" s="170"/>
      <c r="D666" s="170"/>
      <c r="E666" s="170"/>
      <c r="F666" s="170"/>
    </row>
    <row r="667">
      <c r="A667" s="170"/>
      <c r="B667" s="170"/>
      <c r="C667" s="170"/>
      <c r="D667" s="170"/>
      <c r="E667" s="170"/>
      <c r="F667" s="170"/>
    </row>
    <row r="668">
      <c r="A668" s="170"/>
      <c r="B668" s="170"/>
      <c r="C668" s="170"/>
      <c r="D668" s="170"/>
      <c r="E668" s="170"/>
      <c r="F668" s="170"/>
    </row>
    <row r="669">
      <c r="A669" s="170"/>
      <c r="B669" s="170"/>
      <c r="C669" s="170"/>
      <c r="D669" s="170"/>
      <c r="E669" s="170"/>
      <c r="F669" s="170"/>
    </row>
    <row r="670">
      <c r="A670" s="170"/>
      <c r="B670" s="170"/>
      <c r="C670" s="170"/>
      <c r="D670" s="170"/>
      <c r="E670" s="170"/>
      <c r="F670" s="170"/>
    </row>
    <row r="671">
      <c r="A671" s="170"/>
      <c r="B671" s="170"/>
      <c r="C671" s="170"/>
      <c r="D671" s="170"/>
      <c r="E671" s="170"/>
      <c r="F671" s="170"/>
    </row>
    <row r="672">
      <c r="A672" s="170"/>
      <c r="B672" s="170"/>
      <c r="C672" s="170"/>
      <c r="D672" s="170"/>
      <c r="E672" s="170"/>
      <c r="F672" s="170"/>
    </row>
    <row r="673">
      <c r="A673" s="170"/>
      <c r="B673" s="170"/>
      <c r="C673" s="170"/>
      <c r="D673" s="170"/>
      <c r="E673" s="170"/>
      <c r="F673" s="170"/>
    </row>
    <row r="674">
      <c r="A674" s="170"/>
      <c r="B674" s="170"/>
      <c r="C674" s="170"/>
      <c r="D674" s="170"/>
      <c r="E674" s="170"/>
      <c r="F674" s="170"/>
    </row>
    <row r="675">
      <c r="A675" s="170"/>
      <c r="B675" s="170"/>
      <c r="C675" s="170"/>
      <c r="D675" s="170"/>
      <c r="E675" s="170"/>
      <c r="F675" s="170"/>
    </row>
    <row r="676">
      <c r="A676" s="170"/>
      <c r="B676" s="170"/>
      <c r="C676" s="170"/>
      <c r="D676" s="170"/>
      <c r="E676" s="170"/>
      <c r="F676" s="170"/>
    </row>
    <row r="677">
      <c r="A677" s="170"/>
      <c r="B677" s="170"/>
      <c r="C677" s="170"/>
      <c r="D677" s="170"/>
      <c r="E677" s="170"/>
      <c r="F677" s="170"/>
    </row>
    <row r="678">
      <c r="A678" s="170"/>
      <c r="B678" s="170"/>
      <c r="C678" s="170"/>
      <c r="D678" s="170"/>
      <c r="E678" s="170"/>
      <c r="F678" s="170"/>
    </row>
    <row r="679">
      <c r="A679" s="170"/>
      <c r="B679" s="170"/>
      <c r="C679" s="170"/>
      <c r="D679" s="170"/>
      <c r="E679" s="170"/>
      <c r="F679" s="170"/>
    </row>
    <row r="680">
      <c r="A680" s="170"/>
      <c r="B680" s="170"/>
      <c r="C680" s="170"/>
      <c r="D680" s="170"/>
      <c r="E680" s="170"/>
      <c r="F680" s="170"/>
    </row>
    <row r="681">
      <c r="A681" s="170"/>
      <c r="B681" s="170"/>
      <c r="C681" s="170"/>
      <c r="D681" s="170"/>
      <c r="E681" s="170"/>
      <c r="F681" s="170"/>
    </row>
    <row r="682">
      <c r="A682" s="170"/>
      <c r="B682" s="170"/>
      <c r="C682" s="170"/>
      <c r="D682" s="170"/>
      <c r="E682" s="170"/>
      <c r="F682" s="170"/>
    </row>
    <row r="683">
      <c r="A683" s="170"/>
      <c r="B683" s="170"/>
      <c r="C683" s="170"/>
      <c r="D683" s="170"/>
      <c r="E683" s="170"/>
      <c r="F683" s="170"/>
    </row>
    <row r="684">
      <c r="A684" s="170"/>
      <c r="B684" s="170"/>
      <c r="C684" s="170"/>
      <c r="D684" s="170"/>
      <c r="E684" s="170"/>
      <c r="F684" s="170"/>
    </row>
    <row r="685">
      <c r="A685" s="170"/>
      <c r="B685" s="170"/>
      <c r="C685" s="170"/>
      <c r="D685" s="170"/>
      <c r="E685" s="170"/>
      <c r="F685" s="170"/>
    </row>
    <row r="686">
      <c r="A686" s="170"/>
      <c r="B686" s="170"/>
      <c r="C686" s="170"/>
      <c r="D686" s="170"/>
      <c r="E686" s="170"/>
      <c r="F686" s="170"/>
    </row>
    <row r="687">
      <c r="A687" s="170"/>
      <c r="B687" s="170"/>
      <c r="C687" s="170"/>
      <c r="D687" s="170"/>
      <c r="E687" s="170"/>
      <c r="F687" s="170"/>
    </row>
    <row r="688">
      <c r="A688" s="170"/>
      <c r="B688" s="170"/>
      <c r="C688" s="170"/>
      <c r="D688" s="170"/>
      <c r="E688" s="170"/>
      <c r="F688" s="170"/>
    </row>
    <row r="689">
      <c r="A689" s="170"/>
      <c r="B689" s="170"/>
      <c r="C689" s="170"/>
      <c r="D689" s="170"/>
      <c r="E689" s="170"/>
      <c r="F689" s="170"/>
    </row>
    <row r="690">
      <c r="A690" s="170"/>
      <c r="B690" s="170"/>
      <c r="C690" s="170"/>
      <c r="D690" s="170"/>
      <c r="E690" s="170"/>
      <c r="F690" s="170"/>
    </row>
    <row r="691">
      <c r="A691" s="170"/>
      <c r="B691" s="170"/>
      <c r="C691" s="170"/>
      <c r="D691" s="170"/>
      <c r="E691" s="170"/>
      <c r="F691" s="170"/>
    </row>
    <row r="692">
      <c r="A692" s="170"/>
      <c r="B692" s="170"/>
      <c r="C692" s="170"/>
      <c r="D692" s="170"/>
      <c r="E692" s="170"/>
      <c r="F692" s="170"/>
    </row>
    <row r="693">
      <c r="A693" s="170"/>
      <c r="B693" s="170"/>
      <c r="C693" s="170"/>
      <c r="D693" s="170"/>
      <c r="E693" s="170"/>
      <c r="F693" s="170"/>
    </row>
    <row r="694">
      <c r="A694" s="170"/>
      <c r="B694" s="170"/>
      <c r="C694" s="170"/>
      <c r="D694" s="170"/>
      <c r="E694" s="170"/>
      <c r="F694" s="170"/>
    </row>
    <row r="695">
      <c r="A695" s="170"/>
      <c r="B695" s="170"/>
      <c r="C695" s="170"/>
      <c r="D695" s="170"/>
      <c r="E695" s="170"/>
      <c r="F695" s="170"/>
    </row>
    <row r="696">
      <c r="A696" s="170"/>
      <c r="B696" s="170"/>
      <c r="C696" s="170"/>
      <c r="D696" s="170"/>
      <c r="E696" s="170"/>
      <c r="F696" s="170"/>
    </row>
    <row r="697">
      <c r="A697" s="170"/>
      <c r="B697" s="170"/>
      <c r="C697" s="170"/>
      <c r="D697" s="170"/>
      <c r="E697" s="170"/>
      <c r="F697" s="170"/>
    </row>
    <row r="698">
      <c r="A698" s="170"/>
      <c r="B698" s="170"/>
      <c r="C698" s="170"/>
      <c r="D698" s="170"/>
      <c r="E698" s="170"/>
      <c r="F698" s="170"/>
    </row>
    <row r="699">
      <c r="A699" s="170"/>
      <c r="B699" s="170"/>
      <c r="C699" s="170"/>
      <c r="D699" s="170"/>
      <c r="E699" s="170"/>
      <c r="F699" s="170"/>
    </row>
    <row r="700">
      <c r="A700" s="170"/>
      <c r="B700" s="170"/>
      <c r="C700" s="170"/>
      <c r="D700" s="170"/>
      <c r="E700" s="170"/>
      <c r="F700" s="170"/>
    </row>
    <row r="701">
      <c r="A701" s="170"/>
      <c r="B701" s="170"/>
      <c r="C701" s="170"/>
      <c r="D701" s="170"/>
      <c r="E701" s="170"/>
      <c r="F701" s="170"/>
    </row>
    <row r="702">
      <c r="A702" s="170"/>
      <c r="B702" s="170"/>
      <c r="C702" s="170"/>
      <c r="D702" s="170"/>
      <c r="E702" s="170"/>
      <c r="F702" s="170"/>
    </row>
    <row r="703">
      <c r="A703" s="170"/>
      <c r="B703" s="170"/>
      <c r="C703" s="170"/>
      <c r="D703" s="170"/>
      <c r="E703" s="170"/>
      <c r="F703" s="170"/>
    </row>
    <row r="704">
      <c r="A704" s="170"/>
      <c r="B704" s="170"/>
      <c r="C704" s="170"/>
      <c r="D704" s="170"/>
      <c r="E704" s="170"/>
      <c r="F704" s="170"/>
    </row>
    <row r="705">
      <c r="A705" s="170"/>
      <c r="B705" s="170"/>
      <c r="C705" s="170"/>
      <c r="D705" s="170"/>
      <c r="E705" s="170"/>
      <c r="F705" s="170"/>
    </row>
    <row r="706">
      <c r="A706" s="170"/>
      <c r="B706" s="170"/>
      <c r="C706" s="170"/>
      <c r="D706" s="170"/>
      <c r="E706" s="170"/>
      <c r="F706" s="170"/>
    </row>
    <row r="707">
      <c r="A707" s="170"/>
      <c r="B707" s="170"/>
      <c r="C707" s="170"/>
      <c r="D707" s="170"/>
      <c r="E707" s="170"/>
      <c r="F707" s="170"/>
    </row>
    <row r="708">
      <c r="A708" s="170"/>
      <c r="B708" s="170"/>
      <c r="C708" s="170"/>
      <c r="D708" s="170"/>
      <c r="E708" s="170"/>
      <c r="F708" s="170"/>
    </row>
    <row r="709">
      <c r="A709" s="170"/>
      <c r="B709" s="170"/>
      <c r="C709" s="170"/>
      <c r="D709" s="170"/>
      <c r="E709" s="170"/>
      <c r="F709" s="170"/>
    </row>
    <row r="710">
      <c r="A710" s="170"/>
      <c r="B710" s="170"/>
      <c r="C710" s="170"/>
      <c r="D710" s="170"/>
      <c r="E710" s="170"/>
      <c r="F710" s="170"/>
    </row>
    <row r="711">
      <c r="A711" s="170"/>
      <c r="B711" s="170"/>
      <c r="C711" s="170"/>
      <c r="D711" s="170"/>
      <c r="E711" s="170"/>
      <c r="F711" s="170"/>
    </row>
    <row r="712">
      <c r="A712" s="170"/>
      <c r="B712" s="170"/>
      <c r="C712" s="170"/>
      <c r="D712" s="170"/>
      <c r="E712" s="170"/>
      <c r="F712" s="170"/>
    </row>
    <row r="713">
      <c r="A713" s="170"/>
      <c r="B713" s="170"/>
      <c r="C713" s="170"/>
      <c r="D713" s="170"/>
      <c r="E713" s="170"/>
      <c r="F713" s="170"/>
    </row>
    <row r="714">
      <c r="A714" s="170"/>
      <c r="B714" s="170"/>
      <c r="C714" s="170"/>
      <c r="D714" s="170"/>
      <c r="E714" s="170"/>
      <c r="F714" s="170"/>
    </row>
    <row r="715">
      <c r="A715" s="170"/>
      <c r="B715" s="170"/>
      <c r="C715" s="170"/>
      <c r="D715" s="170"/>
      <c r="E715" s="170"/>
      <c r="F715" s="170"/>
    </row>
    <row r="716">
      <c r="A716" s="170"/>
      <c r="B716" s="170"/>
      <c r="C716" s="170"/>
      <c r="D716" s="170"/>
      <c r="E716" s="170"/>
      <c r="F716" s="170"/>
    </row>
    <row r="717">
      <c r="A717" s="170"/>
      <c r="B717" s="170"/>
      <c r="C717" s="170"/>
      <c r="D717" s="170"/>
      <c r="E717" s="170"/>
      <c r="F717" s="170"/>
    </row>
    <row r="718">
      <c r="A718" s="170"/>
      <c r="B718" s="170"/>
      <c r="C718" s="170"/>
      <c r="D718" s="170"/>
      <c r="E718" s="170"/>
      <c r="F718" s="170"/>
    </row>
    <row r="719">
      <c r="A719" s="170"/>
      <c r="B719" s="170"/>
      <c r="C719" s="170"/>
      <c r="D719" s="170"/>
      <c r="E719" s="170"/>
      <c r="F719" s="170"/>
    </row>
    <row r="720">
      <c r="A720" s="170"/>
      <c r="B720" s="170"/>
      <c r="C720" s="170"/>
      <c r="D720" s="170"/>
      <c r="E720" s="170"/>
      <c r="F720" s="170"/>
    </row>
    <row r="721">
      <c r="A721" s="170"/>
      <c r="B721" s="170"/>
      <c r="C721" s="170"/>
      <c r="D721" s="170"/>
      <c r="E721" s="170"/>
      <c r="F721" s="170"/>
    </row>
    <row r="722">
      <c r="A722" s="170"/>
      <c r="B722" s="170"/>
      <c r="C722" s="170"/>
      <c r="D722" s="170"/>
      <c r="E722" s="170"/>
      <c r="F722" s="170"/>
    </row>
    <row r="723">
      <c r="A723" s="170"/>
      <c r="B723" s="170"/>
      <c r="C723" s="170"/>
      <c r="D723" s="170"/>
      <c r="E723" s="170"/>
      <c r="F723" s="170"/>
    </row>
    <row r="724">
      <c r="A724" s="170"/>
      <c r="B724" s="170"/>
      <c r="C724" s="170"/>
      <c r="D724" s="170"/>
      <c r="E724" s="170"/>
      <c r="F724" s="170"/>
    </row>
    <row r="725">
      <c r="A725" s="170"/>
      <c r="B725" s="170"/>
      <c r="C725" s="170"/>
      <c r="D725" s="170"/>
      <c r="E725" s="170"/>
      <c r="F725" s="170"/>
    </row>
    <row r="726">
      <c r="A726" s="170"/>
      <c r="B726" s="170"/>
      <c r="C726" s="170"/>
      <c r="D726" s="170"/>
      <c r="E726" s="170"/>
      <c r="F726" s="170"/>
    </row>
    <row r="727">
      <c r="A727" s="170"/>
      <c r="B727" s="170"/>
      <c r="C727" s="170"/>
      <c r="D727" s="170"/>
      <c r="E727" s="170"/>
      <c r="F727" s="170"/>
    </row>
    <row r="728">
      <c r="A728" s="170"/>
      <c r="B728" s="170"/>
      <c r="C728" s="170"/>
      <c r="D728" s="170"/>
      <c r="E728" s="170"/>
      <c r="F728" s="170"/>
    </row>
    <row r="729">
      <c r="A729" s="170"/>
      <c r="B729" s="170"/>
      <c r="C729" s="170"/>
      <c r="D729" s="170"/>
      <c r="E729" s="170"/>
      <c r="F729" s="170"/>
    </row>
    <row r="730">
      <c r="A730" s="170"/>
      <c r="B730" s="170"/>
      <c r="C730" s="170"/>
      <c r="D730" s="170"/>
      <c r="E730" s="170"/>
      <c r="F730" s="170"/>
    </row>
    <row r="731">
      <c r="A731" s="170"/>
      <c r="B731" s="170"/>
      <c r="C731" s="170"/>
      <c r="D731" s="170"/>
      <c r="E731" s="170"/>
      <c r="F731" s="170"/>
    </row>
    <row r="732">
      <c r="A732" s="170"/>
      <c r="B732" s="170"/>
      <c r="C732" s="170"/>
      <c r="D732" s="170"/>
      <c r="E732" s="170"/>
      <c r="F732" s="170"/>
    </row>
    <row r="733">
      <c r="A733" s="170"/>
      <c r="B733" s="170"/>
      <c r="C733" s="170"/>
      <c r="D733" s="170"/>
      <c r="E733" s="170"/>
      <c r="F733" s="170"/>
    </row>
    <row r="734">
      <c r="A734" s="170"/>
      <c r="B734" s="170"/>
      <c r="C734" s="170"/>
      <c r="D734" s="170"/>
      <c r="E734" s="170"/>
      <c r="F734" s="170"/>
    </row>
    <row r="735">
      <c r="A735" s="170"/>
      <c r="B735" s="170"/>
      <c r="C735" s="170"/>
      <c r="D735" s="170"/>
      <c r="E735" s="170"/>
      <c r="F735" s="170"/>
    </row>
    <row r="736">
      <c r="A736" s="170"/>
      <c r="B736" s="170"/>
      <c r="C736" s="170"/>
      <c r="D736" s="170"/>
      <c r="E736" s="170"/>
      <c r="F736" s="170"/>
    </row>
    <row r="737">
      <c r="A737" s="170"/>
      <c r="B737" s="170"/>
      <c r="C737" s="170"/>
      <c r="D737" s="170"/>
      <c r="E737" s="170"/>
      <c r="F737" s="170"/>
    </row>
    <row r="738">
      <c r="A738" s="170"/>
      <c r="B738" s="170"/>
      <c r="C738" s="170"/>
      <c r="D738" s="170"/>
      <c r="E738" s="170"/>
      <c r="F738" s="170"/>
    </row>
    <row r="739">
      <c r="A739" s="170"/>
      <c r="B739" s="170"/>
      <c r="C739" s="170"/>
      <c r="D739" s="170"/>
      <c r="E739" s="170"/>
      <c r="F739" s="170"/>
    </row>
    <row r="740">
      <c r="A740" s="170"/>
      <c r="B740" s="170"/>
      <c r="C740" s="170"/>
      <c r="D740" s="170"/>
      <c r="E740" s="170"/>
      <c r="F740" s="170"/>
    </row>
    <row r="741">
      <c r="A741" s="170"/>
      <c r="B741" s="170"/>
      <c r="C741" s="170"/>
      <c r="D741" s="170"/>
      <c r="E741" s="170"/>
      <c r="F741" s="170"/>
    </row>
    <row r="742">
      <c r="A742" s="170"/>
      <c r="B742" s="170"/>
      <c r="C742" s="170"/>
      <c r="D742" s="170"/>
      <c r="E742" s="170"/>
      <c r="F742" s="170"/>
    </row>
    <row r="743">
      <c r="A743" s="170"/>
      <c r="B743" s="170"/>
      <c r="C743" s="170"/>
      <c r="D743" s="170"/>
      <c r="E743" s="170"/>
      <c r="F743" s="170"/>
    </row>
    <row r="744">
      <c r="A744" s="170"/>
      <c r="B744" s="170"/>
      <c r="C744" s="170"/>
      <c r="D744" s="170"/>
      <c r="E744" s="170"/>
      <c r="F744" s="170"/>
    </row>
    <row r="745">
      <c r="A745" s="170"/>
      <c r="B745" s="170"/>
      <c r="C745" s="170"/>
      <c r="D745" s="170"/>
      <c r="E745" s="170"/>
      <c r="F745" s="170"/>
    </row>
    <row r="746">
      <c r="A746" s="170"/>
      <c r="B746" s="170"/>
      <c r="C746" s="170"/>
      <c r="D746" s="170"/>
      <c r="E746" s="170"/>
      <c r="F746" s="170"/>
    </row>
    <row r="747">
      <c r="A747" s="170"/>
      <c r="B747" s="170"/>
      <c r="C747" s="170"/>
      <c r="D747" s="170"/>
      <c r="E747" s="170"/>
      <c r="F747" s="170"/>
    </row>
    <row r="748">
      <c r="A748" s="170"/>
      <c r="B748" s="170"/>
      <c r="C748" s="170"/>
      <c r="D748" s="170"/>
      <c r="E748" s="170"/>
      <c r="F748" s="170"/>
    </row>
    <row r="749">
      <c r="A749" s="170"/>
      <c r="B749" s="170"/>
      <c r="C749" s="170"/>
      <c r="D749" s="170"/>
      <c r="E749" s="170"/>
      <c r="F749" s="170"/>
    </row>
    <row r="750">
      <c r="A750" s="170"/>
      <c r="B750" s="170"/>
      <c r="C750" s="170"/>
      <c r="D750" s="170"/>
      <c r="E750" s="170"/>
      <c r="F750" s="170"/>
    </row>
    <row r="751">
      <c r="A751" s="170"/>
      <c r="B751" s="170"/>
      <c r="C751" s="170"/>
      <c r="D751" s="170"/>
      <c r="E751" s="170"/>
      <c r="F751" s="170"/>
    </row>
    <row r="752">
      <c r="A752" s="170"/>
      <c r="B752" s="170"/>
      <c r="C752" s="170"/>
      <c r="D752" s="170"/>
      <c r="E752" s="170"/>
      <c r="F752" s="170"/>
    </row>
    <row r="753">
      <c r="A753" s="170"/>
      <c r="B753" s="170"/>
      <c r="C753" s="170"/>
      <c r="D753" s="170"/>
      <c r="E753" s="170"/>
      <c r="F753" s="170"/>
    </row>
    <row r="754">
      <c r="A754" s="170"/>
      <c r="B754" s="170"/>
      <c r="C754" s="170"/>
      <c r="D754" s="170"/>
      <c r="E754" s="170"/>
      <c r="F754" s="170"/>
    </row>
    <row r="755">
      <c r="A755" s="170"/>
      <c r="B755" s="170"/>
      <c r="C755" s="170"/>
      <c r="D755" s="170"/>
      <c r="E755" s="170"/>
      <c r="F755" s="170"/>
    </row>
    <row r="756">
      <c r="A756" s="170"/>
      <c r="B756" s="170"/>
      <c r="C756" s="170"/>
      <c r="D756" s="170"/>
      <c r="E756" s="170"/>
      <c r="F756" s="170"/>
    </row>
    <row r="757">
      <c r="A757" s="170"/>
      <c r="B757" s="170"/>
      <c r="C757" s="170"/>
      <c r="D757" s="170"/>
      <c r="E757" s="170"/>
      <c r="F757" s="170"/>
    </row>
    <row r="758">
      <c r="A758" s="170"/>
      <c r="B758" s="170"/>
      <c r="C758" s="170"/>
      <c r="D758" s="170"/>
      <c r="E758" s="170"/>
      <c r="F758" s="170"/>
    </row>
    <row r="759">
      <c r="A759" s="170"/>
      <c r="B759" s="170"/>
      <c r="C759" s="170"/>
      <c r="D759" s="170"/>
      <c r="E759" s="170"/>
      <c r="F759" s="170"/>
    </row>
    <row r="760">
      <c r="A760" s="170"/>
      <c r="B760" s="170"/>
      <c r="C760" s="170"/>
      <c r="D760" s="170"/>
      <c r="E760" s="170"/>
      <c r="F760" s="170"/>
    </row>
    <row r="761">
      <c r="A761" s="170"/>
      <c r="B761" s="170"/>
      <c r="C761" s="170"/>
      <c r="D761" s="170"/>
      <c r="E761" s="170"/>
      <c r="F761" s="170"/>
    </row>
    <row r="762">
      <c r="A762" s="170"/>
      <c r="B762" s="170"/>
      <c r="C762" s="170"/>
      <c r="D762" s="170"/>
      <c r="E762" s="170"/>
      <c r="F762" s="170"/>
    </row>
    <row r="763">
      <c r="A763" s="170"/>
      <c r="B763" s="170"/>
      <c r="C763" s="170"/>
      <c r="D763" s="170"/>
      <c r="E763" s="170"/>
      <c r="F763" s="170"/>
    </row>
    <row r="764">
      <c r="A764" s="170"/>
      <c r="B764" s="170"/>
      <c r="C764" s="170"/>
      <c r="D764" s="170"/>
      <c r="E764" s="170"/>
      <c r="F764" s="170"/>
    </row>
    <row r="765">
      <c r="A765" s="170"/>
      <c r="B765" s="170"/>
      <c r="C765" s="170"/>
      <c r="D765" s="170"/>
      <c r="E765" s="170"/>
      <c r="F765" s="170"/>
    </row>
    <row r="766">
      <c r="A766" s="170"/>
      <c r="B766" s="170"/>
      <c r="C766" s="170"/>
      <c r="D766" s="170"/>
      <c r="E766" s="170"/>
      <c r="F766" s="170"/>
    </row>
    <row r="767">
      <c r="A767" s="170"/>
      <c r="B767" s="170"/>
      <c r="C767" s="170"/>
      <c r="D767" s="170"/>
      <c r="E767" s="170"/>
      <c r="F767" s="170"/>
    </row>
    <row r="768">
      <c r="A768" s="170"/>
      <c r="B768" s="170"/>
      <c r="C768" s="170"/>
      <c r="D768" s="170"/>
      <c r="E768" s="170"/>
      <c r="F768" s="170"/>
    </row>
    <row r="769">
      <c r="A769" s="170"/>
      <c r="B769" s="170"/>
      <c r="C769" s="170"/>
      <c r="D769" s="170"/>
      <c r="E769" s="170"/>
      <c r="F769" s="170"/>
    </row>
    <row r="770">
      <c r="A770" s="170"/>
      <c r="B770" s="170"/>
      <c r="C770" s="170"/>
      <c r="D770" s="170"/>
      <c r="E770" s="170"/>
      <c r="F770" s="170"/>
    </row>
    <row r="771">
      <c r="A771" s="170"/>
      <c r="B771" s="170"/>
      <c r="C771" s="170"/>
      <c r="D771" s="170"/>
      <c r="E771" s="170"/>
      <c r="F771" s="170"/>
    </row>
    <row r="772">
      <c r="A772" s="170"/>
      <c r="B772" s="170"/>
      <c r="C772" s="170"/>
      <c r="D772" s="170"/>
      <c r="E772" s="170"/>
      <c r="F772" s="170"/>
    </row>
    <row r="773">
      <c r="A773" s="170"/>
      <c r="B773" s="170"/>
      <c r="C773" s="170"/>
      <c r="D773" s="170"/>
      <c r="E773" s="170"/>
      <c r="F773" s="170"/>
    </row>
    <row r="774">
      <c r="A774" s="170"/>
      <c r="B774" s="170"/>
      <c r="C774" s="170"/>
      <c r="D774" s="170"/>
      <c r="E774" s="170"/>
      <c r="F774" s="170"/>
    </row>
    <row r="775">
      <c r="A775" s="170"/>
      <c r="B775" s="170"/>
      <c r="C775" s="170"/>
      <c r="D775" s="170"/>
      <c r="E775" s="170"/>
      <c r="F775" s="170"/>
    </row>
    <row r="776">
      <c r="A776" s="170"/>
      <c r="B776" s="170"/>
      <c r="C776" s="170"/>
      <c r="D776" s="170"/>
      <c r="E776" s="170"/>
      <c r="F776" s="170"/>
    </row>
    <row r="777">
      <c r="A777" s="170"/>
      <c r="B777" s="170"/>
      <c r="C777" s="170"/>
      <c r="D777" s="170"/>
      <c r="E777" s="170"/>
      <c r="F777" s="170"/>
    </row>
    <row r="778">
      <c r="A778" s="170"/>
      <c r="B778" s="170"/>
      <c r="C778" s="170"/>
      <c r="D778" s="170"/>
      <c r="E778" s="170"/>
      <c r="F778" s="170"/>
    </row>
    <row r="779">
      <c r="A779" s="170"/>
      <c r="B779" s="170"/>
      <c r="C779" s="170"/>
      <c r="D779" s="170"/>
      <c r="E779" s="170"/>
      <c r="F779" s="170"/>
    </row>
    <row r="780">
      <c r="A780" s="170"/>
      <c r="B780" s="170"/>
      <c r="C780" s="170"/>
      <c r="D780" s="170"/>
      <c r="E780" s="170"/>
      <c r="F780" s="170"/>
    </row>
    <row r="781">
      <c r="A781" s="170"/>
      <c r="B781" s="170"/>
      <c r="C781" s="170"/>
      <c r="D781" s="170"/>
      <c r="E781" s="170"/>
      <c r="F781" s="170"/>
    </row>
    <row r="782">
      <c r="A782" s="170"/>
      <c r="B782" s="170"/>
      <c r="C782" s="170"/>
      <c r="D782" s="170"/>
      <c r="E782" s="170"/>
      <c r="F782" s="170"/>
    </row>
    <row r="783">
      <c r="A783" s="170"/>
      <c r="B783" s="170"/>
      <c r="C783" s="170"/>
      <c r="D783" s="170"/>
      <c r="E783" s="170"/>
      <c r="F783" s="170"/>
    </row>
    <row r="784">
      <c r="A784" s="170"/>
      <c r="B784" s="170"/>
      <c r="C784" s="170"/>
      <c r="D784" s="170"/>
      <c r="E784" s="170"/>
      <c r="F784" s="170"/>
    </row>
    <row r="785">
      <c r="A785" s="170"/>
      <c r="B785" s="170"/>
      <c r="C785" s="170"/>
      <c r="D785" s="170"/>
      <c r="E785" s="170"/>
      <c r="F785" s="170"/>
    </row>
    <row r="786">
      <c r="A786" s="170"/>
      <c r="B786" s="170"/>
      <c r="C786" s="170"/>
      <c r="D786" s="170"/>
      <c r="E786" s="170"/>
      <c r="F786" s="170"/>
    </row>
    <row r="787">
      <c r="A787" s="170"/>
      <c r="B787" s="170"/>
      <c r="C787" s="170"/>
      <c r="D787" s="170"/>
      <c r="E787" s="170"/>
      <c r="F787" s="170"/>
    </row>
    <row r="788">
      <c r="A788" s="170"/>
      <c r="B788" s="170"/>
      <c r="C788" s="170"/>
      <c r="D788" s="170"/>
      <c r="E788" s="170"/>
      <c r="F788" s="170"/>
    </row>
    <row r="789">
      <c r="A789" s="170"/>
      <c r="B789" s="170"/>
      <c r="C789" s="170"/>
      <c r="D789" s="170"/>
      <c r="E789" s="170"/>
      <c r="F789" s="170"/>
    </row>
    <row r="790">
      <c r="A790" s="170"/>
      <c r="B790" s="170"/>
      <c r="C790" s="170"/>
      <c r="D790" s="170"/>
      <c r="E790" s="170"/>
      <c r="F790" s="170"/>
    </row>
    <row r="791">
      <c r="A791" s="170"/>
      <c r="B791" s="170"/>
      <c r="C791" s="170"/>
      <c r="D791" s="170"/>
      <c r="E791" s="170"/>
      <c r="F791" s="170"/>
    </row>
    <row r="792">
      <c r="A792" s="170"/>
      <c r="B792" s="170"/>
      <c r="C792" s="170"/>
      <c r="D792" s="170"/>
      <c r="E792" s="170"/>
      <c r="F792" s="170"/>
    </row>
    <row r="793">
      <c r="A793" s="170"/>
      <c r="B793" s="170"/>
      <c r="C793" s="170"/>
      <c r="D793" s="170"/>
      <c r="E793" s="170"/>
      <c r="F793" s="170"/>
    </row>
    <row r="794">
      <c r="A794" s="170"/>
      <c r="B794" s="170"/>
      <c r="C794" s="170"/>
      <c r="D794" s="170"/>
      <c r="E794" s="170"/>
      <c r="F794" s="170"/>
    </row>
    <row r="795">
      <c r="A795" s="170"/>
      <c r="B795" s="170"/>
      <c r="C795" s="170"/>
      <c r="D795" s="170"/>
      <c r="E795" s="170"/>
      <c r="F795" s="170"/>
    </row>
    <row r="796">
      <c r="A796" s="170"/>
      <c r="B796" s="170"/>
      <c r="C796" s="170"/>
      <c r="D796" s="170"/>
      <c r="E796" s="170"/>
      <c r="F796" s="170"/>
    </row>
    <row r="797">
      <c r="A797" s="170"/>
      <c r="B797" s="170"/>
      <c r="C797" s="170"/>
      <c r="D797" s="170"/>
      <c r="E797" s="170"/>
      <c r="F797" s="170"/>
    </row>
    <row r="798">
      <c r="A798" s="170"/>
      <c r="B798" s="170"/>
      <c r="C798" s="170"/>
      <c r="D798" s="170"/>
      <c r="E798" s="170"/>
      <c r="F798" s="170"/>
    </row>
    <row r="799">
      <c r="A799" s="170"/>
      <c r="B799" s="170"/>
      <c r="C799" s="170"/>
      <c r="D799" s="170"/>
      <c r="E799" s="170"/>
      <c r="F799" s="170"/>
    </row>
    <row r="800">
      <c r="A800" s="170"/>
      <c r="B800" s="170"/>
      <c r="C800" s="170"/>
      <c r="D800" s="170"/>
      <c r="E800" s="170"/>
      <c r="F800" s="170"/>
    </row>
    <row r="801">
      <c r="A801" s="170"/>
      <c r="B801" s="170"/>
      <c r="C801" s="170"/>
      <c r="D801" s="170"/>
      <c r="E801" s="170"/>
      <c r="F801" s="170"/>
    </row>
    <row r="802">
      <c r="A802" s="170"/>
      <c r="B802" s="170"/>
      <c r="C802" s="170"/>
      <c r="D802" s="170"/>
      <c r="E802" s="170"/>
      <c r="F802" s="170"/>
    </row>
    <row r="803">
      <c r="A803" s="170"/>
      <c r="B803" s="170"/>
      <c r="C803" s="170"/>
      <c r="D803" s="170"/>
      <c r="E803" s="170"/>
      <c r="F803" s="170"/>
    </row>
    <row r="804">
      <c r="A804" s="170"/>
      <c r="B804" s="170"/>
      <c r="C804" s="170"/>
      <c r="D804" s="170"/>
      <c r="E804" s="170"/>
      <c r="F804" s="170"/>
    </row>
    <row r="805">
      <c r="A805" s="170"/>
      <c r="B805" s="170"/>
      <c r="C805" s="170"/>
      <c r="D805" s="170"/>
      <c r="E805" s="170"/>
      <c r="F805" s="170"/>
    </row>
    <row r="806">
      <c r="A806" s="170"/>
      <c r="B806" s="170"/>
      <c r="C806" s="170"/>
      <c r="D806" s="170"/>
      <c r="E806" s="170"/>
      <c r="F806" s="170"/>
    </row>
    <row r="807">
      <c r="A807" s="170"/>
      <c r="B807" s="170"/>
      <c r="C807" s="170"/>
      <c r="D807" s="170"/>
      <c r="E807" s="170"/>
      <c r="F807" s="170"/>
    </row>
    <row r="808">
      <c r="A808" s="170"/>
      <c r="B808" s="170"/>
      <c r="C808" s="170"/>
      <c r="D808" s="170"/>
      <c r="E808" s="170"/>
      <c r="F808" s="170"/>
    </row>
    <row r="809">
      <c r="A809" s="170"/>
      <c r="B809" s="170"/>
      <c r="C809" s="170"/>
      <c r="D809" s="170"/>
      <c r="E809" s="170"/>
      <c r="F809" s="170"/>
    </row>
    <row r="810">
      <c r="A810" s="170"/>
      <c r="B810" s="170"/>
      <c r="C810" s="170"/>
      <c r="D810" s="170"/>
      <c r="E810" s="170"/>
      <c r="F810" s="170"/>
    </row>
    <row r="811">
      <c r="A811" s="170"/>
      <c r="B811" s="170"/>
      <c r="C811" s="170"/>
      <c r="D811" s="170"/>
      <c r="E811" s="170"/>
      <c r="F811" s="170"/>
    </row>
    <row r="812">
      <c r="A812" s="170"/>
      <c r="B812" s="170"/>
      <c r="C812" s="170"/>
      <c r="D812" s="170"/>
      <c r="E812" s="170"/>
      <c r="F812" s="170"/>
    </row>
    <row r="813">
      <c r="A813" s="170"/>
      <c r="B813" s="170"/>
      <c r="C813" s="170"/>
      <c r="D813" s="170"/>
      <c r="E813" s="170"/>
      <c r="F813" s="170"/>
    </row>
    <row r="814">
      <c r="A814" s="170"/>
      <c r="B814" s="170"/>
      <c r="C814" s="170"/>
      <c r="D814" s="170"/>
      <c r="E814" s="170"/>
      <c r="F814" s="170"/>
    </row>
    <row r="815">
      <c r="A815" s="170"/>
      <c r="B815" s="170"/>
      <c r="C815" s="170"/>
      <c r="D815" s="170"/>
      <c r="E815" s="170"/>
      <c r="F815" s="170"/>
    </row>
    <row r="816">
      <c r="A816" s="170"/>
      <c r="B816" s="170"/>
      <c r="C816" s="170"/>
      <c r="D816" s="170"/>
      <c r="E816" s="170"/>
      <c r="F816" s="170"/>
    </row>
    <row r="817">
      <c r="A817" s="170"/>
      <c r="B817" s="170"/>
      <c r="C817" s="170"/>
      <c r="D817" s="170"/>
      <c r="E817" s="170"/>
      <c r="F817" s="170"/>
    </row>
    <row r="818">
      <c r="A818" s="170"/>
      <c r="B818" s="170"/>
      <c r="C818" s="170"/>
      <c r="D818" s="170"/>
      <c r="E818" s="170"/>
      <c r="F818" s="170"/>
    </row>
    <row r="819">
      <c r="A819" s="170"/>
      <c r="B819" s="170"/>
      <c r="C819" s="170"/>
      <c r="D819" s="170"/>
      <c r="E819" s="170"/>
      <c r="F819" s="170"/>
    </row>
    <row r="820">
      <c r="A820" s="170"/>
      <c r="B820" s="170"/>
      <c r="C820" s="170"/>
      <c r="D820" s="170"/>
      <c r="E820" s="170"/>
      <c r="F820" s="170"/>
    </row>
    <row r="821">
      <c r="A821" s="170"/>
      <c r="B821" s="170"/>
      <c r="C821" s="170"/>
      <c r="D821" s="170"/>
      <c r="E821" s="170"/>
      <c r="F821" s="170"/>
    </row>
    <row r="822">
      <c r="A822" s="170"/>
      <c r="B822" s="170"/>
      <c r="C822" s="170"/>
      <c r="D822" s="170"/>
      <c r="E822" s="170"/>
      <c r="F822" s="170"/>
    </row>
    <row r="823">
      <c r="A823" s="170"/>
      <c r="B823" s="170"/>
      <c r="C823" s="170"/>
      <c r="D823" s="170"/>
      <c r="E823" s="170"/>
      <c r="F823" s="170"/>
    </row>
    <row r="824">
      <c r="A824" s="170"/>
      <c r="B824" s="170"/>
      <c r="C824" s="170"/>
      <c r="D824" s="170"/>
      <c r="E824" s="170"/>
      <c r="F824" s="170"/>
    </row>
    <row r="825">
      <c r="A825" s="170"/>
      <c r="B825" s="170"/>
      <c r="C825" s="170"/>
      <c r="D825" s="170"/>
      <c r="E825" s="170"/>
      <c r="F825" s="170"/>
    </row>
    <row r="826">
      <c r="A826" s="170"/>
      <c r="B826" s="170"/>
      <c r="C826" s="170"/>
      <c r="D826" s="170"/>
      <c r="E826" s="170"/>
      <c r="F826" s="170"/>
    </row>
    <row r="827">
      <c r="A827" s="170"/>
      <c r="B827" s="170"/>
      <c r="C827" s="170"/>
      <c r="D827" s="170"/>
      <c r="E827" s="170"/>
      <c r="F827" s="170"/>
    </row>
    <row r="828">
      <c r="A828" s="170"/>
      <c r="B828" s="170"/>
      <c r="C828" s="170"/>
      <c r="D828" s="170"/>
      <c r="E828" s="170"/>
      <c r="F828" s="170"/>
    </row>
    <row r="829">
      <c r="A829" s="170"/>
      <c r="B829" s="170"/>
      <c r="C829" s="170"/>
      <c r="D829" s="170"/>
      <c r="E829" s="170"/>
      <c r="F829" s="170"/>
    </row>
    <row r="830">
      <c r="A830" s="170"/>
      <c r="B830" s="170"/>
      <c r="C830" s="170"/>
      <c r="D830" s="170"/>
      <c r="E830" s="170"/>
      <c r="F830" s="170"/>
    </row>
    <row r="831">
      <c r="A831" s="170"/>
      <c r="B831" s="170"/>
      <c r="C831" s="170"/>
      <c r="D831" s="170"/>
      <c r="E831" s="170"/>
      <c r="F831" s="170"/>
    </row>
    <row r="832">
      <c r="A832" s="170"/>
      <c r="B832" s="170"/>
      <c r="C832" s="170"/>
      <c r="D832" s="170"/>
      <c r="E832" s="170"/>
      <c r="F832" s="170"/>
    </row>
    <row r="833">
      <c r="A833" s="170"/>
      <c r="B833" s="170"/>
      <c r="C833" s="170"/>
      <c r="D833" s="170"/>
      <c r="E833" s="170"/>
      <c r="F833" s="170"/>
    </row>
    <row r="834">
      <c r="A834" s="170"/>
      <c r="B834" s="170"/>
      <c r="C834" s="170"/>
      <c r="D834" s="170"/>
      <c r="E834" s="170"/>
      <c r="F834" s="170"/>
    </row>
    <row r="835">
      <c r="A835" s="170"/>
      <c r="B835" s="170"/>
      <c r="C835" s="170"/>
      <c r="D835" s="170"/>
      <c r="E835" s="170"/>
      <c r="F835" s="170"/>
    </row>
    <row r="836">
      <c r="A836" s="170"/>
      <c r="B836" s="170"/>
      <c r="C836" s="170"/>
      <c r="D836" s="170"/>
      <c r="E836" s="170"/>
      <c r="F836" s="170"/>
    </row>
    <row r="837">
      <c r="A837" s="170"/>
      <c r="B837" s="170"/>
      <c r="C837" s="170"/>
      <c r="D837" s="170"/>
      <c r="E837" s="170"/>
      <c r="F837" s="170"/>
    </row>
    <row r="838">
      <c r="A838" s="170"/>
      <c r="B838" s="170"/>
      <c r="C838" s="170"/>
      <c r="D838" s="170"/>
      <c r="E838" s="170"/>
      <c r="F838" s="170"/>
    </row>
    <row r="839">
      <c r="A839" s="170"/>
      <c r="B839" s="170"/>
      <c r="C839" s="170"/>
      <c r="D839" s="170"/>
      <c r="E839" s="170"/>
      <c r="F839" s="170"/>
    </row>
    <row r="840">
      <c r="A840" s="170"/>
      <c r="B840" s="170"/>
      <c r="C840" s="170"/>
      <c r="D840" s="170"/>
      <c r="E840" s="170"/>
      <c r="F840" s="170"/>
    </row>
    <row r="841">
      <c r="A841" s="170"/>
      <c r="B841" s="170"/>
      <c r="C841" s="170"/>
      <c r="D841" s="170"/>
      <c r="E841" s="170"/>
      <c r="F841" s="170"/>
    </row>
    <row r="842">
      <c r="A842" s="170"/>
      <c r="B842" s="170"/>
      <c r="C842" s="170"/>
      <c r="D842" s="170"/>
      <c r="E842" s="170"/>
      <c r="F842" s="170"/>
    </row>
    <row r="843">
      <c r="A843" s="170"/>
      <c r="B843" s="170"/>
      <c r="C843" s="170"/>
      <c r="D843" s="170"/>
      <c r="E843" s="170"/>
      <c r="F843" s="170"/>
    </row>
    <row r="844">
      <c r="A844" s="170"/>
      <c r="B844" s="170"/>
      <c r="C844" s="170"/>
      <c r="D844" s="170"/>
      <c r="E844" s="170"/>
      <c r="F844" s="170"/>
    </row>
    <row r="845">
      <c r="A845" s="170"/>
      <c r="B845" s="170"/>
      <c r="C845" s="170"/>
      <c r="D845" s="170"/>
      <c r="E845" s="170"/>
      <c r="F845" s="170"/>
    </row>
    <row r="846">
      <c r="A846" s="170"/>
      <c r="B846" s="170"/>
      <c r="C846" s="170"/>
      <c r="D846" s="170"/>
      <c r="E846" s="170"/>
      <c r="F846" s="170"/>
    </row>
    <row r="847">
      <c r="A847" s="170"/>
      <c r="B847" s="170"/>
      <c r="C847" s="170"/>
      <c r="D847" s="170"/>
      <c r="E847" s="170"/>
      <c r="F847" s="170"/>
    </row>
    <row r="848">
      <c r="A848" s="170"/>
      <c r="B848" s="170"/>
      <c r="C848" s="170"/>
      <c r="D848" s="170"/>
      <c r="E848" s="170"/>
      <c r="F848" s="170"/>
    </row>
    <row r="849">
      <c r="A849" s="170"/>
      <c r="B849" s="170"/>
      <c r="C849" s="170"/>
      <c r="D849" s="170"/>
      <c r="E849" s="170"/>
      <c r="F849" s="170"/>
    </row>
    <row r="850">
      <c r="A850" s="170"/>
      <c r="B850" s="170"/>
      <c r="C850" s="170"/>
      <c r="D850" s="170"/>
      <c r="E850" s="170"/>
      <c r="F850" s="170"/>
    </row>
    <row r="851">
      <c r="A851" s="170"/>
      <c r="B851" s="170"/>
      <c r="C851" s="170"/>
      <c r="D851" s="170"/>
      <c r="E851" s="170"/>
      <c r="F851" s="170"/>
    </row>
    <row r="852">
      <c r="A852" s="170"/>
      <c r="B852" s="170"/>
      <c r="C852" s="170"/>
      <c r="D852" s="170"/>
      <c r="E852" s="170"/>
      <c r="F852" s="170"/>
    </row>
    <row r="853">
      <c r="A853" s="170"/>
      <c r="B853" s="170"/>
      <c r="C853" s="170"/>
      <c r="D853" s="170"/>
      <c r="E853" s="170"/>
      <c r="F853" s="170"/>
    </row>
    <row r="854">
      <c r="A854" s="170"/>
      <c r="B854" s="170"/>
      <c r="C854" s="170"/>
      <c r="D854" s="170"/>
      <c r="E854" s="170"/>
      <c r="F854" s="170"/>
    </row>
    <row r="855">
      <c r="A855" s="170"/>
      <c r="B855" s="170"/>
      <c r="C855" s="170"/>
      <c r="D855" s="170"/>
      <c r="E855" s="170"/>
      <c r="F855" s="170"/>
    </row>
    <row r="856">
      <c r="A856" s="170"/>
      <c r="B856" s="170"/>
      <c r="C856" s="170"/>
      <c r="D856" s="170"/>
      <c r="E856" s="170"/>
      <c r="F856" s="170"/>
    </row>
    <row r="857">
      <c r="A857" s="170"/>
      <c r="B857" s="170"/>
      <c r="C857" s="170"/>
      <c r="D857" s="170"/>
      <c r="E857" s="170"/>
      <c r="F857" s="170"/>
    </row>
    <row r="858">
      <c r="A858" s="170"/>
      <c r="B858" s="170"/>
      <c r="C858" s="170"/>
      <c r="D858" s="170"/>
      <c r="E858" s="170"/>
      <c r="F858" s="170"/>
    </row>
    <row r="859">
      <c r="A859" s="170"/>
      <c r="B859" s="170"/>
      <c r="C859" s="170"/>
      <c r="D859" s="170"/>
      <c r="E859" s="170"/>
      <c r="F859" s="170"/>
    </row>
    <row r="860">
      <c r="A860" s="170"/>
      <c r="B860" s="170"/>
      <c r="C860" s="170"/>
      <c r="D860" s="170"/>
      <c r="E860" s="170"/>
      <c r="F860" s="170"/>
    </row>
    <row r="861">
      <c r="A861" s="170"/>
      <c r="B861" s="170"/>
      <c r="C861" s="170"/>
      <c r="D861" s="170"/>
      <c r="E861" s="170"/>
      <c r="F861" s="170"/>
    </row>
    <row r="862">
      <c r="A862" s="170"/>
      <c r="B862" s="170"/>
      <c r="C862" s="170"/>
      <c r="D862" s="170"/>
      <c r="E862" s="170"/>
      <c r="F862" s="170"/>
    </row>
    <row r="863">
      <c r="A863" s="170"/>
      <c r="B863" s="170"/>
      <c r="C863" s="170"/>
      <c r="D863" s="170"/>
      <c r="E863" s="170"/>
      <c r="F863" s="170"/>
    </row>
    <row r="864">
      <c r="A864" s="170"/>
      <c r="B864" s="170"/>
      <c r="C864" s="170"/>
      <c r="D864" s="170"/>
      <c r="E864" s="170"/>
      <c r="F864" s="170"/>
    </row>
    <row r="865">
      <c r="A865" s="170"/>
      <c r="B865" s="170"/>
      <c r="C865" s="170"/>
      <c r="D865" s="170"/>
      <c r="E865" s="170"/>
      <c r="F865" s="170"/>
    </row>
    <row r="866">
      <c r="A866" s="170"/>
      <c r="B866" s="170"/>
      <c r="C866" s="170"/>
      <c r="D866" s="170"/>
      <c r="E866" s="170"/>
      <c r="F866" s="170"/>
    </row>
    <row r="867">
      <c r="A867" s="170"/>
      <c r="B867" s="170"/>
      <c r="C867" s="170"/>
      <c r="D867" s="170"/>
      <c r="E867" s="170"/>
      <c r="F867" s="170"/>
    </row>
    <row r="868">
      <c r="A868" s="170"/>
      <c r="B868" s="170"/>
      <c r="C868" s="170"/>
      <c r="D868" s="170"/>
      <c r="E868" s="170"/>
      <c r="F868" s="170"/>
    </row>
    <row r="869">
      <c r="A869" s="170"/>
      <c r="B869" s="170"/>
      <c r="C869" s="170"/>
      <c r="D869" s="170"/>
      <c r="E869" s="170"/>
      <c r="F869" s="170"/>
    </row>
    <row r="870">
      <c r="A870" s="170"/>
      <c r="B870" s="170"/>
      <c r="C870" s="170"/>
      <c r="D870" s="170"/>
      <c r="E870" s="170"/>
      <c r="F870" s="170"/>
    </row>
    <row r="871">
      <c r="A871" s="170"/>
      <c r="B871" s="170"/>
      <c r="C871" s="170"/>
      <c r="D871" s="170"/>
      <c r="E871" s="170"/>
      <c r="F871" s="170"/>
    </row>
    <row r="872">
      <c r="A872" s="170"/>
      <c r="B872" s="170"/>
      <c r="C872" s="170"/>
      <c r="D872" s="170"/>
      <c r="E872" s="170"/>
      <c r="F872" s="170"/>
    </row>
    <row r="873">
      <c r="A873" s="170"/>
      <c r="B873" s="170"/>
      <c r="C873" s="170"/>
      <c r="D873" s="170"/>
      <c r="E873" s="170"/>
      <c r="F873" s="170"/>
    </row>
    <row r="874">
      <c r="A874" s="170"/>
      <c r="B874" s="170"/>
      <c r="C874" s="170"/>
      <c r="D874" s="170"/>
      <c r="E874" s="170"/>
      <c r="F874" s="170"/>
    </row>
    <row r="875">
      <c r="A875" s="170"/>
      <c r="B875" s="170"/>
      <c r="C875" s="170"/>
      <c r="D875" s="170"/>
      <c r="E875" s="170"/>
      <c r="F875" s="170"/>
    </row>
    <row r="876">
      <c r="A876" s="170"/>
      <c r="B876" s="170"/>
      <c r="C876" s="170"/>
      <c r="D876" s="170"/>
      <c r="E876" s="170"/>
      <c r="F876" s="170"/>
    </row>
    <row r="877">
      <c r="A877" s="170"/>
      <c r="B877" s="170"/>
      <c r="C877" s="170"/>
      <c r="D877" s="170"/>
      <c r="E877" s="170"/>
      <c r="F877" s="170"/>
    </row>
    <row r="878">
      <c r="A878" s="170"/>
      <c r="B878" s="170"/>
      <c r="C878" s="170"/>
      <c r="D878" s="170"/>
      <c r="E878" s="170"/>
      <c r="F878" s="170"/>
    </row>
    <row r="879">
      <c r="A879" s="170"/>
      <c r="B879" s="170"/>
      <c r="C879" s="170"/>
      <c r="D879" s="170"/>
      <c r="E879" s="170"/>
      <c r="F879" s="170"/>
    </row>
    <row r="880">
      <c r="A880" s="170"/>
      <c r="B880" s="170"/>
      <c r="C880" s="170"/>
      <c r="D880" s="170"/>
      <c r="E880" s="170"/>
      <c r="F880" s="170"/>
    </row>
    <row r="881">
      <c r="A881" s="170"/>
      <c r="B881" s="170"/>
      <c r="C881" s="170"/>
      <c r="D881" s="170"/>
      <c r="E881" s="170"/>
      <c r="F881" s="170"/>
    </row>
    <row r="882">
      <c r="A882" s="170"/>
      <c r="B882" s="170"/>
      <c r="C882" s="170"/>
      <c r="D882" s="170"/>
      <c r="E882" s="170"/>
      <c r="F882" s="170"/>
    </row>
    <row r="883">
      <c r="A883" s="170"/>
      <c r="B883" s="170"/>
      <c r="C883" s="170"/>
      <c r="D883" s="170"/>
      <c r="E883" s="170"/>
      <c r="F883" s="170"/>
    </row>
    <row r="884">
      <c r="A884" s="170"/>
      <c r="B884" s="170"/>
      <c r="C884" s="170"/>
      <c r="D884" s="170"/>
      <c r="E884" s="170"/>
      <c r="F884" s="170"/>
    </row>
    <row r="885">
      <c r="A885" s="170"/>
      <c r="B885" s="170"/>
      <c r="C885" s="170"/>
      <c r="D885" s="170"/>
      <c r="E885" s="170"/>
      <c r="F885" s="170"/>
    </row>
    <row r="886">
      <c r="A886" s="170"/>
      <c r="B886" s="170"/>
      <c r="C886" s="170"/>
      <c r="D886" s="170"/>
      <c r="E886" s="170"/>
      <c r="F886" s="170"/>
    </row>
    <row r="887">
      <c r="A887" s="170"/>
      <c r="B887" s="170"/>
      <c r="C887" s="170"/>
      <c r="D887" s="170"/>
      <c r="E887" s="170"/>
      <c r="F887" s="170"/>
    </row>
    <row r="888">
      <c r="A888" s="170"/>
      <c r="B888" s="170"/>
      <c r="C888" s="170"/>
      <c r="D888" s="170"/>
      <c r="E888" s="170"/>
      <c r="F888" s="170"/>
    </row>
    <row r="889">
      <c r="A889" s="170"/>
      <c r="B889" s="170"/>
      <c r="C889" s="170"/>
      <c r="D889" s="170"/>
      <c r="E889" s="170"/>
      <c r="F889" s="170"/>
    </row>
    <row r="890">
      <c r="A890" s="170"/>
      <c r="B890" s="170"/>
      <c r="C890" s="170"/>
      <c r="D890" s="170"/>
      <c r="E890" s="170"/>
      <c r="F890" s="170"/>
    </row>
    <row r="891">
      <c r="A891" s="170"/>
      <c r="B891" s="170"/>
      <c r="C891" s="170"/>
      <c r="D891" s="170"/>
      <c r="E891" s="170"/>
      <c r="F891" s="170"/>
    </row>
    <row r="892">
      <c r="A892" s="170"/>
      <c r="B892" s="170"/>
      <c r="C892" s="170"/>
      <c r="D892" s="170"/>
      <c r="E892" s="170"/>
      <c r="F892" s="170"/>
    </row>
    <row r="893">
      <c r="A893" s="170"/>
      <c r="B893" s="170"/>
      <c r="C893" s="170"/>
      <c r="D893" s="170"/>
      <c r="E893" s="170"/>
      <c r="F893" s="170"/>
    </row>
    <row r="894">
      <c r="A894" s="170"/>
      <c r="B894" s="170"/>
      <c r="C894" s="170"/>
      <c r="D894" s="170"/>
      <c r="E894" s="170"/>
      <c r="F894" s="170"/>
    </row>
    <row r="895">
      <c r="A895" s="170"/>
      <c r="B895" s="170"/>
      <c r="C895" s="170"/>
      <c r="D895" s="170"/>
      <c r="E895" s="170"/>
      <c r="F895" s="170"/>
    </row>
    <row r="896">
      <c r="A896" s="170"/>
      <c r="B896" s="170"/>
      <c r="C896" s="170"/>
      <c r="D896" s="170"/>
      <c r="E896" s="170"/>
      <c r="F896" s="170"/>
    </row>
    <row r="897">
      <c r="A897" s="170"/>
      <c r="B897" s="170"/>
      <c r="C897" s="170"/>
      <c r="D897" s="170"/>
      <c r="E897" s="170"/>
      <c r="F897" s="170"/>
    </row>
    <row r="898">
      <c r="A898" s="170"/>
      <c r="B898" s="170"/>
      <c r="C898" s="170"/>
      <c r="D898" s="170"/>
      <c r="E898" s="170"/>
      <c r="F898" s="170"/>
    </row>
    <row r="899">
      <c r="A899" s="170"/>
      <c r="B899" s="170"/>
      <c r="C899" s="170"/>
      <c r="D899" s="170"/>
      <c r="E899" s="170"/>
      <c r="F899" s="170"/>
    </row>
    <row r="900">
      <c r="A900" s="170"/>
      <c r="B900" s="170"/>
      <c r="C900" s="170"/>
      <c r="D900" s="170"/>
      <c r="E900" s="170"/>
      <c r="F900" s="170"/>
    </row>
    <row r="901">
      <c r="A901" s="170"/>
      <c r="B901" s="170"/>
      <c r="C901" s="170"/>
      <c r="D901" s="170"/>
      <c r="E901" s="170"/>
      <c r="F901" s="170"/>
    </row>
    <row r="902">
      <c r="A902" s="170"/>
      <c r="B902" s="170"/>
      <c r="C902" s="170"/>
      <c r="D902" s="170"/>
      <c r="E902" s="170"/>
      <c r="F902" s="170"/>
    </row>
    <row r="903">
      <c r="A903" s="170"/>
      <c r="B903" s="170"/>
      <c r="C903" s="170"/>
      <c r="D903" s="170"/>
      <c r="E903" s="170"/>
      <c r="F903" s="170"/>
    </row>
    <row r="904">
      <c r="A904" s="170"/>
      <c r="B904" s="170"/>
      <c r="C904" s="170"/>
      <c r="D904" s="170"/>
      <c r="E904" s="170"/>
      <c r="F904" s="170"/>
    </row>
    <row r="905">
      <c r="A905" s="170"/>
      <c r="B905" s="170"/>
      <c r="C905" s="170"/>
      <c r="D905" s="170"/>
      <c r="E905" s="170"/>
      <c r="F905" s="170"/>
    </row>
    <row r="906">
      <c r="A906" s="170"/>
      <c r="B906" s="170"/>
      <c r="C906" s="170"/>
      <c r="D906" s="170"/>
      <c r="E906" s="170"/>
      <c r="F906" s="170"/>
    </row>
    <row r="907">
      <c r="A907" s="170"/>
      <c r="B907" s="170"/>
      <c r="C907" s="170"/>
      <c r="D907" s="170"/>
      <c r="E907" s="170"/>
      <c r="F907" s="170"/>
    </row>
    <row r="908">
      <c r="A908" s="170"/>
      <c r="B908" s="170"/>
      <c r="C908" s="170"/>
      <c r="D908" s="170"/>
      <c r="E908" s="170"/>
      <c r="F908" s="170"/>
    </row>
    <row r="909">
      <c r="A909" s="170"/>
      <c r="B909" s="170"/>
      <c r="C909" s="170"/>
      <c r="D909" s="170"/>
      <c r="E909" s="170"/>
      <c r="F909" s="170"/>
    </row>
    <row r="910">
      <c r="A910" s="170"/>
      <c r="B910" s="170"/>
      <c r="C910" s="170"/>
      <c r="D910" s="170"/>
      <c r="E910" s="170"/>
      <c r="F910" s="170"/>
    </row>
    <row r="911">
      <c r="A911" s="170"/>
      <c r="B911" s="170"/>
      <c r="C911" s="170"/>
      <c r="D911" s="170"/>
      <c r="E911" s="170"/>
      <c r="F911" s="170"/>
    </row>
    <row r="912">
      <c r="A912" s="170"/>
      <c r="B912" s="170"/>
      <c r="C912" s="170"/>
      <c r="D912" s="170"/>
      <c r="E912" s="170"/>
      <c r="F912" s="170"/>
    </row>
    <row r="913">
      <c r="A913" s="170"/>
      <c r="B913" s="170"/>
      <c r="C913" s="170"/>
      <c r="D913" s="170"/>
      <c r="E913" s="170"/>
      <c r="F913" s="170"/>
    </row>
    <row r="914">
      <c r="A914" s="170"/>
      <c r="B914" s="170"/>
      <c r="C914" s="170"/>
      <c r="D914" s="170"/>
      <c r="E914" s="170"/>
      <c r="F914" s="170"/>
    </row>
    <row r="915">
      <c r="A915" s="170"/>
      <c r="B915" s="170"/>
      <c r="C915" s="170"/>
      <c r="D915" s="170"/>
      <c r="E915" s="170"/>
      <c r="F915" s="170"/>
    </row>
    <row r="916">
      <c r="A916" s="170"/>
      <c r="B916" s="170"/>
      <c r="C916" s="170"/>
      <c r="D916" s="170"/>
      <c r="E916" s="170"/>
      <c r="F916" s="170"/>
    </row>
    <row r="917">
      <c r="A917" s="170"/>
      <c r="B917" s="170"/>
      <c r="C917" s="170"/>
      <c r="D917" s="170"/>
      <c r="E917" s="170"/>
      <c r="F917" s="170"/>
    </row>
    <row r="918">
      <c r="A918" s="170"/>
      <c r="B918" s="170"/>
      <c r="C918" s="170"/>
      <c r="D918" s="170"/>
      <c r="E918" s="170"/>
      <c r="F918" s="170"/>
    </row>
    <row r="919">
      <c r="A919" s="170"/>
      <c r="B919" s="170"/>
      <c r="C919" s="170"/>
      <c r="D919" s="170"/>
      <c r="E919" s="170"/>
      <c r="F919" s="170"/>
    </row>
    <row r="920">
      <c r="A920" s="170"/>
      <c r="B920" s="170"/>
      <c r="C920" s="170"/>
      <c r="D920" s="170"/>
      <c r="E920" s="170"/>
      <c r="F920" s="170"/>
    </row>
    <row r="921">
      <c r="A921" s="170"/>
      <c r="B921" s="170"/>
      <c r="C921" s="170"/>
      <c r="D921" s="170"/>
      <c r="E921" s="170"/>
      <c r="F921" s="170"/>
    </row>
    <row r="922">
      <c r="A922" s="170"/>
      <c r="B922" s="170"/>
      <c r="C922" s="170"/>
      <c r="D922" s="170"/>
      <c r="E922" s="170"/>
      <c r="F922" s="170"/>
    </row>
    <row r="923">
      <c r="A923" s="170"/>
      <c r="B923" s="170"/>
      <c r="C923" s="170"/>
      <c r="D923" s="170"/>
      <c r="E923" s="170"/>
      <c r="F923" s="170"/>
    </row>
    <row r="924">
      <c r="A924" s="170"/>
      <c r="B924" s="170"/>
      <c r="C924" s="170"/>
      <c r="D924" s="170"/>
      <c r="E924" s="170"/>
      <c r="F924" s="170"/>
    </row>
    <row r="925">
      <c r="A925" s="170"/>
      <c r="B925" s="170"/>
      <c r="C925" s="170"/>
      <c r="D925" s="170"/>
      <c r="E925" s="170"/>
      <c r="F925" s="170"/>
    </row>
    <row r="926">
      <c r="A926" s="170"/>
      <c r="B926" s="170"/>
      <c r="C926" s="170"/>
      <c r="D926" s="170"/>
      <c r="E926" s="170"/>
      <c r="F926" s="170"/>
    </row>
    <row r="927">
      <c r="A927" s="170"/>
      <c r="B927" s="170"/>
      <c r="C927" s="170"/>
      <c r="D927" s="170"/>
      <c r="E927" s="170"/>
      <c r="F927" s="170"/>
    </row>
    <row r="928">
      <c r="A928" s="170"/>
      <c r="B928" s="170"/>
      <c r="C928" s="170"/>
      <c r="D928" s="170"/>
      <c r="E928" s="170"/>
      <c r="F928" s="170"/>
    </row>
    <row r="929">
      <c r="A929" s="170"/>
      <c r="B929" s="170"/>
      <c r="C929" s="170"/>
      <c r="D929" s="170"/>
      <c r="E929" s="170"/>
      <c r="F929" s="170"/>
    </row>
    <row r="930">
      <c r="A930" s="170"/>
      <c r="B930" s="170"/>
      <c r="C930" s="170"/>
      <c r="D930" s="170"/>
      <c r="E930" s="170"/>
      <c r="F930" s="170"/>
    </row>
    <row r="931">
      <c r="A931" s="170"/>
      <c r="B931" s="170"/>
      <c r="C931" s="170"/>
      <c r="D931" s="170"/>
      <c r="E931" s="170"/>
      <c r="F931" s="170"/>
    </row>
    <row r="932">
      <c r="A932" s="170"/>
      <c r="B932" s="170"/>
      <c r="C932" s="170"/>
      <c r="D932" s="170"/>
      <c r="E932" s="170"/>
      <c r="F932" s="170"/>
    </row>
    <row r="933">
      <c r="A933" s="170"/>
      <c r="B933" s="170"/>
      <c r="C933" s="170"/>
      <c r="D933" s="170"/>
      <c r="E933" s="170"/>
      <c r="F933" s="170"/>
    </row>
    <row r="934">
      <c r="A934" s="170"/>
      <c r="B934" s="170"/>
      <c r="C934" s="170"/>
      <c r="D934" s="170"/>
      <c r="E934" s="170"/>
      <c r="F934" s="170"/>
    </row>
    <row r="935">
      <c r="A935" s="170"/>
      <c r="B935" s="170"/>
      <c r="C935" s="170"/>
      <c r="D935" s="170"/>
      <c r="E935" s="170"/>
      <c r="F935" s="170"/>
    </row>
    <row r="936">
      <c r="A936" s="170"/>
      <c r="B936" s="170"/>
      <c r="C936" s="170"/>
      <c r="D936" s="170"/>
      <c r="E936" s="170"/>
      <c r="F936" s="170"/>
    </row>
    <row r="937">
      <c r="A937" s="170"/>
      <c r="B937" s="170"/>
      <c r="C937" s="170"/>
      <c r="D937" s="170"/>
      <c r="E937" s="170"/>
      <c r="F937" s="170"/>
    </row>
    <row r="938">
      <c r="A938" s="170"/>
      <c r="B938" s="170"/>
      <c r="C938" s="170"/>
      <c r="D938" s="170"/>
      <c r="E938" s="170"/>
      <c r="F938" s="170"/>
    </row>
    <row r="939">
      <c r="A939" s="170"/>
      <c r="B939" s="170"/>
      <c r="C939" s="170"/>
      <c r="D939" s="170"/>
      <c r="E939" s="170"/>
      <c r="F939" s="170"/>
    </row>
    <row r="940">
      <c r="A940" s="170"/>
      <c r="B940" s="170"/>
      <c r="C940" s="170"/>
      <c r="D940" s="170"/>
      <c r="E940" s="170"/>
      <c r="F940" s="170"/>
    </row>
    <row r="941">
      <c r="A941" s="170"/>
      <c r="B941" s="170"/>
      <c r="C941" s="170"/>
      <c r="D941" s="170"/>
      <c r="E941" s="170"/>
      <c r="F941" s="170"/>
    </row>
    <row r="942">
      <c r="A942" s="170"/>
      <c r="B942" s="170"/>
      <c r="C942" s="170"/>
      <c r="D942" s="170"/>
      <c r="E942" s="170"/>
      <c r="F942" s="170"/>
    </row>
    <row r="943">
      <c r="A943" s="170"/>
      <c r="B943" s="170"/>
      <c r="C943" s="170"/>
      <c r="D943" s="170"/>
      <c r="E943" s="170"/>
      <c r="F943" s="170"/>
    </row>
    <row r="944">
      <c r="A944" s="170"/>
      <c r="B944" s="170"/>
      <c r="C944" s="170"/>
      <c r="D944" s="170"/>
      <c r="E944" s="170"/>
      <c r="F944" s="170"/>
    </row>
    <row r="945">
      <c r="A945" s="170"/>
      <c r="B945" s="170"/>
      <c r="C945" s="170"/>
      <c r="D945" s="170"/>
      <c r="E945" s="170"/>
      <c r="F945" s="170"/>
    </row>
    <row r="946">
      <c r="A946" s="170"/>
      <c r="B946" s="170"/>
      <c r="C946" s="170"/>
      <c r="D946" s="170"/>
      <c r="E946" s="170"/>
      <c r="F946" s="170"/>
    </row>
    <row r="947">
      <c r="A947" s="170"/>
      <c r="B947" s="170"/>
      <c r="C947" s="170"/>
      <c r="D947" s="170"/>
      <c r="E947" s="170"/>
      <c r="F947" s="170"/>
    </row>
    <row r="948">
      <c r="A948" s="170"/>
      <c r="B948" s="170"/>
      <c r="C948" s="170"/>
      <c r="D948" s="170"/>
      <c r="E948" s="170"/>
      <c r="F948" s="170"/>
    </row>
    <row r="949">
      <c r="A949" s="170"/>
      <c r="B949" s="170"/>
      <c r="C949" s="170"/>
      <c r="D949" s="170"/>
      <c r="E949" s="170"/>
      <c r="F949" s="170"/>
    </row>
    <row r="950">
      <c r="A950" s="170"/>
      <c r="B950" s="170"/>
      <c r="C950" s="170"/>
      <c r="D950" s="170"/>
      <c r="E950" s="170"/>
      <c r="F950" s="170"/>
    </row>
    <row r="951">
      <c r="A951" s="170"/>
      <c r="B951" s="170"/>
      <c r="C951" s="170"/>
      <c r="D951" s="170"/>
      <c r="E951" s="170"/>
      <c r="F951" s="170"/>
    </row>
    <row r="952">
      <c r="A952" s="170"/>
      <c r="B952" s="170"/>
      <c r="C952" s="170"/>
      <c r="D952" s="170"/>
      <c r="E952" s="170"/>
      <c r="F952" s="170"/>
    </row>
    <row r="953">
      <c r="A953" s="170"/>
      <c r="B953" s="170"/>
      <c r="C953" s="170"/>
      <c r="D953" s="170"/>
      <c r="E953" s="170"/>
      <c r="F953" s="170"/>
    </row>
    <row r="954">
      <c r="A954" s="170"/>
      <c r="B954" s="170"/>
      <c r="C954" s="170"/>
      <c r="D954" s="170"/>
      <c r="E954" s="170"/>
      <c r="F954" s="170"/>
    </row>
    <row r="955">
      <c r="A955" s="170"/>
      <c r="B955" s="170"/>
      <c r="C955" s="170"/>
      <c r="D955" s="170"/>
      <c r="E955" s="170"/>
      <c r="F955" s="170"/>
    </row>
    <row r="956">
      <c r="A956" s="170"/>
      <c r="B956" s="170"/>
      <c r="C956" s="170"/>
      <c r="D956" s="170"/>
      <c r="E956" s="170"/>
      <c r="F956" s="170"/>
    </row>
    <row r="957">
      <c r="A957" s="170"/>
      <c r="B957" s="170"/>
      <c r="C957" s="170"/>
      <c r="D957" s="170"/>
      <c r="E957" s="170"/>
      <c r="F957" s="170"/>
    </row>
    <row r="958">
      <c r="A958" s="170"/>
      <c r="B958" s="170"/>
      <c r="C958" s="170"/>
      <c r="D958" s="170"/>
      <c r="E958" s="170"/>
      <c r="F958" s="170"/>
    </row>
    <row r="959">
      <c r="A959" s="170"/>
      <c r="B959" s="170"/>
      <c r="C959" s="170"/>
      <c r="D959" s="170"/>
      <c r="E959" s="170"/>
      <c r="F959" s="170"/>
    </row>
    <row r="960">
      <c r="A960" s="170"/>
      <c r="B960" s="170"/>
      <c r="C960" s="170"/>
      <c r="D960" s="170"/>
      <c r="E960" s="170"/>
      <c r="F960" s="170"/>
    </row>
    <row r="961">
      <c r="A961" s="170"/>
      <c r="B961" s="170"/>
      <c r="C961" s="170"/>
      <c r="D961" s="170"/>
      <c r="E961" s="170"/>
      <c r="F961" s="170"/>
    </row>
    <row r="962">
      <c r="A962" s="170"/>
      <c r="B962" s="170"/>
      <c r="C962" s="170"/>
      <c r="D962" s="170"/>
      <c r="E962" s="170"/>
      <c r="F962" s="170"/>
    </row>
    <row r="963">
      <c r="A963" s="170"/>
      <c r="B963" s="170"/>
      <c r="C963" s="170"/>
      <c r="D963" s="170"/>
      <c r="E963" s="170"/>
      <c r="F963" s="170"/>
    </row>
    <row r="964">
      <c r="A964" s="170"/>
      <c r="B964" s="170"/>
      <c r="C964" s="170"/>
      <c r="D964" s="170"/>
      <c r="E964" s="170"/>
      <c r="F964" s="170"/>
    </row>
    <row r="965">
      <c r="A965" s="170"/>
      <c r="B965" s="170"/>
      <c r="C965" s="170"/>
      <c r="D965" s="170"/>
      <c r="E965" s="170"/>
      <c r="F965" s="170"/>
    </row>
    <row r="966">
      <c r="A966" s="170"/>
      <c r="B966" s="170"/>
      <c r="C966" s="170"/>
      <c r="D966" s="170"/>
      <c r="E966" s="170"/>
      <c r="F966" s="170"/>
    </row>
    <row r="967">
      <c r="A967" s="170"/>
      <c r="B967" s="170"/>
      <c r="C967" s="170"/>
      <c r="D967" s="170"/>
      <c r="E967" s="170"/>
      <c r="F967" s="170"/>
    </row>
    <row r="968">
      <c r="A968" s="170"/>
      <c r="B968" s="170"/>
      <c r="C968" s="170"/>
      <c r="D968" s="170"/>
      <c r="E968" s="170"/>
      <c r="F968" s="170"/>
    </row>
    <row r="969">
      <c r="A969" s="170"/>
      <c r="B969" s="170"/>
      <c r="C969" s="170"/>
      <c r="D969" s="170"/>
      <c r="E969" s="170"/>
      <c r="F969" s="170"/>
    </row>
    <row r="970">
      <c r="A970" s="170"/>
      <c r="B970" s="170"/>
      <c r="C970" s="170"/>
      <c r="D970" s="170"/>
      <c r="E970" s="170"/>
      <c r="F970" s="170"/>
    </row>
    <row r="971">
      <c r="A971" s="170"/>
      <c r="B971" s="170"/>
      <c r="C971" s="170"/>
      <c r="D971" s="170"/>
      <c r="E971" s="170"/>
      <c r="F971" s="170"/>
    </row>
    <row r="972">
      <c r="A972" s="170"/>
      <c r="B972" s="170"/>
      <c r="C972" s="170"/>
      <c r="D972" s="170"/>
      <c r="E972" s="170"/>
      <c r="F972" s="170"/>
    </row>
    <row r="973">
      <c r="A973" s="170"/>
      <c r="B973" s="170"/>
      <c r="C973" s="170"/>
      <c r="D973" s="170"/>
      <c r="E973" s="170"/>
      <c r="F973" s="170"/>
    </row>
    <row r="974">
      <c r="A974" s="170"/>
      <c r="B974" s="170"/>
      <c r="C974" s="170"/>
      <c r="D974" s="170"/>
      <c r="E974" s="170"/>
      <c r="F974" s="170"/>
    </row>
    <row r="975">
      <c r="A975" s="170"/>
      <c r="B975" s="170"/>
      <c r="C975" s="170"/>
      <c r="D975" s="170"/>
      <c r="E975" s="170"/>
      <c r="F975" s="170"/>
    </row>
    <row r="976">
      <c r="A976" s="170"/>
      <c r="B976" s="170"/>
      <c r="C976" s="170"/>
      <c r="D976" s="170"/>
      <c r="E976" s="170"/>
      <c r="F976" s="170"/>
    </row>
    <row r="977">
      <c r="A977" s="170"/>
      <c r="B977" s="170"/>
      <c r="C977" s="170"/>
      <c r="D977" s="170"/>
      <c r="E977" s="170"/>
      <c r="F977" s="170"/>
    </row>
    <row r="978">
      <c r="A978" s="170"/>
      <c r="B978" s="170"/>
      <c r="C978" s="170"/>
      <c r="D978" s="170"/>
      <c r="E978" s="170"/>
      <c r="F978" s="170"/>
    </row>
    <row r="979">
      <c r="A979" s="170"/>
      <c r="B979" s="170"/>
      <c r="C979" s="170"/>
      <c r="D979" s="170"/>
      <c r="E979" s="170"/>
      <c r="F979" s="170"/>
    </row>
    <row r="980">
      <c r="A980" s="170"/>
      <c r="B980" s="170"/>
      <c r="C980" s="170"/>
      <c r="D980" s="170"/>
      <c r="E980" s="170"/>
      <c r="F980" s="170"/>
    </row>
    <row r="981">
      <c r="A981" s="170"/>
      <c r="B981" s="170"/>
      <c r="C981" s="170"/>
      <c r="D981" s="170"/>
      <c r="E981" s="170"/>
      <c r="F981" s="170"/>
    </row>
    <row r="982">
      <c r="A982" s="170"/>
      <c r="B982" s="170"/>
      <c r="C982" s="170"/>
      <c r="D982" s="170"/>
      <c r="E982" s="170"/>
      <c r="F982" s="170"/>
    </row>
    <row r="983">
      <c r="A983" s="170"/>
      <c r="B983" s="170"/>
      <c r="C983" s="170"/>
      <c r="D983" s="170"/>
      <c r="E983" s="170"/>
      <c r="F983" s="170"/>
    </row>
    <row r="984">
      <c r="A984" s="170"/>
      <c r="B984" s="170"/>
      <c r="C984" s="170"/>
      <c r="D984" s="170"/>
      <c r="E984" s="170"/>
      <c r="F984" s="170"/>
    </row>
    <row r="985">
      <c r="A985" s="170"/>
      <c r="B985" s="170"/>
      <c r="C985" s="170"/>
      <c r="D985" s="170"/>
      <c r="E985" s="170"/>
      <c r="F985" s="170"/>
    </row>
    <row r="986">
      <c r="A986" s="170"/>
      <c r="B986" s="170"/>
      <c r="C986" s="170"/>
      <c r="D986" s="170"/>
      <c r="E986" s="170"/>
      <c r="F986" s="170"/>
    </row>
    <row r="987">
      <c r="A987" s="170"/>
      <c r="B987" s="170"/>
      <c r="C987" s="170"/>
      <c r="D987" s="170"/>
      <c r="E987" s="170"/>
      <c r="F987" s="170"/>
    </row>
    <row r="988">
      <c r="A988" s="170"/>
      <c r="B988" s="170"/>
      <c r="C988" s="170"/>
      <c r="D988" s="170"/>
      <c r="E988" s="170"/>
      <c r="F988" s="170"/>
    </row>
    <row r="989">
      <c r="A989" s="170"/>
      <c r="B989" s="170"/>
      <c r="C989" s="170"/>
      <c r="D989" s="170"/>
      <c r="E989" s="170"/>
      <c r="F989" s="170"/>
    </row>
    <row r="990">
      <c r="A990" s="170"/>
      <c r="B990" s="170"/>
      <c r="C990" s="170"/>
      <c r="D990" s="170"/>
      <c r="E990" s="170"/>
      <c r="F990" s="170"/>
    </row>
    <row r="991">
      <c r="A991" s="170"/>
      <c r="B991" s="170"/>
      <c r="C991" s="170"/>
      <c r="D991" s="170"/>
      <c r="E991" s="170"/>
      <c r="F991" s="170"/>
    </row>
    <row r="992">
      <c r="A992" s="170"/>
      <c r="B992" s="170"/>
      <c r="C992" s="170"/>
      <c r="D992" s="170"/>
      <c r="E992" s="170"/>
      <c r="F992" s="170"/>
    </row>
    <row r="993">
      <c r="A993" s="170"/>
      <c r="B993" s="170"/>
      <c r="C993" s="170"/>
      <c r="D993" s="170"/>
      <c r="E993" s="170"/>
      <c r="F993" s="170"/>
    </row>
    <row r="994">
      <c r="A994" s="170"/>
      <c r="B994" s="170"/>
      <c r="C994" s="170"/>
      <c r="D994" s="170"/>
      <c r="E994" s="170"/>
      <c r="F994" s="170"/>
    </row>
    <row r="995">
      <c r="A995" s="170"/>
      <c r="B995" s="170"/>
      <c r="C995" s="170"/>
      <c r="D995" s="170"/>
      <c r="E995" s="170"/>
      <c r="F995" s="170"/>
    </row>
    <row r="996">
      <c r="A996" s="170"/>
      <c r="B996" s="170"/>
      <c r="C996" s="170"/>
      <c r="D996" s="170"/>
      <c r="E996" s="170"/>
      <c r="F996" s="170"/>
    </row>
    <row r="997">
      <c r="A997" s="170"/>
      <c r="B997" s="170"/>
      <c r="C997" s="170"/>
      <c r="D997" s="170"/>
      <c r="E997" s="170"/>
      <c r="F997" s="170"/>
    </row>
    <row r="998">
      <c r="A998" s="170"/>
      <c r="B998" s="170"/>
      <c r="C998" s="170"/>
      <c r="D998" s="170"/>
      <c r="E998" s="170"/>
      <c r="F998" s="170"/>
    </row>
    <row r="999">
      <c r="A999" s="170"/>
      <c r="B999" s="170"/>
      <c r="C999" s="170"/>
      <c r="D999" s="170"/>
      <c r="E999" s="170"/>
      <c r="F999" s="170"/>
    </row>
    <row r="1000">
      <c r="A1000" s="170"/>
      <c r="B1000" s="170"/>
      <c r="C1000" s="170"/>
      <c r="D1000" s="170"/>
      <c r="E1000" s="170"/>
      <c r="F1000" s="170"/>
    </row>
    <row r="1001">
      <c r="A1001" s="170"/>
      <c r="B1001" s="170"/>
      <c r="C1001" s="170"/>
      <c r="D1001" s="170"/>
      <c r="E1001" s="170"/>
      <c r="F1001" s="170"/>
    </row>
    <row r="1002">
      <c r="A1002" s="170"/>
      <c r="B1002" s="170"/>
      <c r="C1002" s="170"/>
      <c r="D1002" s="170"/>
      <c r="E1002" s="170"/>
      <c r="F1002" s="170"/>
    </row>
    <row r="1003">
      <c r="A1003" s="170"/>
      <c r="B1003" s="170"/>
      <c r="C1003" s="170"/>
      <c r="D1003" s="170"/>
      <c r="E1003" s="170"/>
      <c r="F1003" s="170"/>
    </row>
    <row r="1004">
      <c r="A1004" s="170"/>
      <c r="B1004" s="170"/>
      <c r="C1004" s="170"/>
      <c r="D1004" s="170"/>
      <c r="E1004" s="170"/>
      <c r="F1004" s="170"/>
    </row>
    <row r="1005">
      <c r="A1005" s="170"/>
      <c r="B1005" s="170"/>
      <c r="C1005" s="170"/>
      <c r="D1005" s="170"/>
      <c r="E1005" s="170"/>
      <c r="F1005" s="170"/>
    </row>
    <row r="1006">
      <c r="A1006" s="170"/>
      <c r="B1006" s="170"/>
      <c r="C1006" s="170"/>
      <c r="D1006" s="170"/>
      <c r="E1006" s="170"/>
      <c r="F1006" s="170"/>
    </row>
    <row r="1007">
      <c r="A1007" s="170"/>
      <c r="B1007" s="170"/>
      <c r="C1007" s="170"/>
      <c r="D1007" s="170"/>
      <c r="E1007" s="170"/>
      <c r="F1007" s="170"/>
    </row>
    <row r="1008">
      <c r="A1008" s="170"/>
      <c r="B1008" s="170"/>
      <c r="C1008" s="170"/>
      <c r="D1008" s="170"/>
      <c r="E1008" s="170"/>
      <c r="F1008" s="170"/>
    </row>
    <row r="1009">
      <c r="A1009" s="170"/>
      <c r="B1009" s="170"/>
      <c r="C1009" s="170"/>
      <c r="D1009" s="170"/>
      <c r="E1009" s="170"/>
      <c r="F1009" s="170"/>
    </row>
    <row r="1010">
      <c r="A1010" s="170"/>
      <c r="B1010" s="170"/>
      <c r="C1010" s="170"/>
      <c r="D1010" s="170"/>
      <c r="E1010" s="170"/>
      <c r="F1010" s="170"/>
    </row>
    <row r="1011">
      <c r="A1011" s="170"/>
      <c r="B1011" s="170"/>
      <c r="C1011" s="170"/>
      <c r="D1011" s="170"/>
      <c r="E1011" s="170"/>
      <c r="F1011" s="170"/>
    </row>
    <row r="1012">
      <c r="A1012" s="170"/>
      <c r="B1012" s="170"/>
      <c r="C1012" s="170"/>
      <c r="D1012" s="170"/>
      <c r="E1012" s="170"/>
      <c r="F1012" s="170"/>
    </row>
    <row r="1013">
      <c r="A1013" s="170"/>
      <c r="B1013" s="170"/>
      <c r="C1013" s="170"/>
      <c r="D1013" s="170"/>
      <c r="E1013" s="170"/>
      <c r="F1013" s="170"/>
    </row>
    <row r="1014">
      <c r="A1014" s="170"/>
      <c r="B1014" s="170"/>
      <c r="C1014" s="170"/>
      <c r="D1014" s="170"/>
      <c r="E1014" s="170"/>
      <c r="F1014" s="170"/>
    </row>
    <row r="1015">
      <c r="A1015" s="170"/>
      <c r="B1015" s="170"/>
      <c r="C1015" s="170"/>
      <c r="D1015" s="170"/>
      <c r="E1015" s="170"/>
      <c r="F1015" s="170"/>
    </row>
    <row r="1016">
      <c r="A1016" s="170"/>
      <c r="B1016" s="170"/>
      <c r="C1016" s="170"/>
      <c r="D1016" s="170"/>
      <c r="E1016" s="170"/>
      <c r="F1016" s="170"/>
    </row>
    <row r="1017">
      <c r="A1017" s="170"/>
      <c r="B1017" s="170"/>
      <c r="C1017" s="170"/>
      <c r="D1017" s="170"/>
      <c r="E1017" s="170"/>
      <c r="F1017" s="170"/>
    </row>
    <row r="1018">
      <c r="A1018" s="170"/>
      <c r="B1018" s="170"/>
      <c r="C1018" s="170"/>
      <c r="D1018" s="170"/>
      <c r="E1018" s="170"/>
      <c r="F1018" s="170"/>
    </row>
    <row r="1019">
      <c r="A1019" s="170"/>
      <c r="B1019" s="170"/>
      <c r="C1019" s="170"/>
      <c r="D1019" s="170"/>
      <c r="E1019" s="170"/>
      <c r="F1019" s="170"/>
    </row>
    <row r="1020">
      <c r="A1020" s="170"/>
      <c r="B1020" s="170"/>
      <c r="C1020" s="170"/>
      <c r="D1020" s="170"/>
      <c r="E1020" s="170"/>
      <c r="F1020" s="170"/>
    </row>
    <row r="1021">
      <c r="A1021" s="170"/>
      <c r="B1021" s="170"/>
      <c r="C1021" s="170"/>
      <c r="D1021" s="170"/>
      <c r="E1021" s="170"/>
      <c r="F1021" s="170"/>
    </row>
    <row r="1022">
      <c r="A1022" s="170"/>
      <c r="B1022" s="170"/>
      <c r="C1022" s="170"/>
      <c r="D1022" s="170"/>
      <c r="E1022" s="170"/>
      <c r="F1022" s="170"/>
    </row>
  </sheetData>
  <mergeCells count="1">
    <mergeCell ref="B2:F2"/>
  </mergeCells>
  <dataValidations>
    <dataValidation type="list" allowBlank="1" showErrorMessage="1" sqref="E4:E31">
      <formula1>"Backlog,In Progress,Blocked,Completed"</formula1>
    </dataValidation>
    <dataValidation type="list" allowBlank="1" showErrorMessage="1" sqref="C4:C31">
      <formula1>"Buddy,Hiring Manager,New Hire,PM Team,PM Team &amp; Buddy"</formula1>
    </dataValidation>
  </dataValidations>
  <hyperlinks>
    <hyperlink r:id="rId1" ref="D5"/>
    <hyperlink r:id="rId2" ref="D6"/>
    <hyperlink r:id="rId3" ref="D7"/>
    <hyperlink r:id="rId4" ref="D9"/>
    <hyperlink r:id="rId5" ref="B11"/>
    <hyperlink r:id="rId6" location="slide=id.g27b04383fa0_0_373" ref="D11"/>
    <hyperlink r:id="rId7" ref="B15"/>
    <hyperlink r:id="rId8" ref="D15"/>
    <hyperlink r:id="rId9" ref="D16"/>
    <hyperlink r:id="rId10" ref="D17"/>
    <hyperlink r:id="rId11" ref="F20"/>
    <hyperlink r:id="rId12" ref="D23"/>
    <hyperlink r:id="rId13" ref="D24"/>
    <hyperlink r:id="rId14" ref="D25"/>
    <hyperlink r:id="rId15" ref="D26"/>
    <hyperlink r:id="rId16" ref="D27"/>
    <hyperlink r:id="rId17" ref="D30"/>
    <hyperlink r:id="rId18" ref="D31"/>
    <hyperlink r:id="rId19" ref="D33"/>
  </hyperlinks>
  <drawing r:id="rId2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13"/>
    <col customWidth="1" min="2" max="2" width="29.88"/>
    <col customWidth="1" min="3" max="3" width="9.38"/>
    <col customWidth="1" min="4" max="4" width="4.38"/>
    <col customWidth="1" min="5" max="9" width="8.88"/>
    <col customWidth="1" min="12" max="12" width="43.88"/>
    <col customWidth="1" min="13" max="13" width="27.38"/>
    <col customWidth="1" min="14" max="14" width="19.5"/>
    <col customWidth="1" min="15" max="15" width="15.88"/>
    <col customWidth="1" min="16" max="16" width="4.13"/>
  </cols>
  <sheetData>
    <row r="1">
      <c r="A1" s="1"/>
      <c r="B1" s="1" t="s">
        <v>0</v>
      </c>
      <c r="C1" s="2"/>
      <c r="D1" s="3"/>
      <c r="E1" s="4"/>
      <c r="F1" s="4"/>
      <c r="G1" s="4"/>
      <c r="H1" s="4"/>
      <c r="I1" s="4"/>
      <c r="J1" s="1"/>
      <c r="K1" s="1"/>
      <c r="L1" s="5"/>
      <c r="M1" s="1"/>
      <c r="N1" s="1"/>
      <c r="O1" s="1"/>
      <c r="P1" s="1"/>
    </row>
    <row r="2">
      <c r="A2" s="1"/>
      <c r="B2" s="6">
        <v>45525.0</v>
      </c>
      <c r="C2" s="532" t="s">
        <v>575</v>
      </c>
      <c r="D2" s="3"/>
      <c r="E2" s="4"/>
      <c r="F2" s="4"/>
      <c r="G2" s="4"/>
      <c r="H2" s="4"/>
      <c r="I2" s="4"/>
      <c r="J2" s="1"/>
      <c r="K2" s="1"/>
      <c r="L2" s="5"/>
      <c r="M2" s="1"/>
      <c r="N2" s="1"/>
      <c r="O2" s="1"/>
      <c r="P2" s="1"/>
    </row>
    <row r="3">
      <c r="A3" s="1"/>
      <c r="B3" s="7" t="s">
        <v>797</v>
      </c>
      <c r="C3" s="8"/>
      <c r="D3" s="9" t="s">
        <v>798</v>
      </c>
      <c r="E3" s="10"/>
      <c r="F3" s="10"/>
      <c r="G3" s="10"/>
      <c r="H3" s="10"/>
      <c r="I3" s="10"/>
      <c r="J3" s="10"/>
      <c r="K3" s="10"/>
      <c r="L3" s="10"/>
      <c r="M3" s="10"/>
      <c r="N3" s="10"/>
      <c r="O3" s="11"/>
      <c r="P3" s="1"/>
    </row>
    <row r="4">
      <c r="A4" s="1"/>
      <c r="B4" s="12" t="s">
        <v>3</v>
      </c>
      <c r="C4" s="13" t="s">
        <v>4</v>
      </c>
      <c r="D4" s="14" t="s">
        <v>5</v>
      </c>
      <c r="E4" s="14" t="s">
        <v>6</v>
      </c>
      <c r="F4" s="14" t="s">
        <v>7</v>
      </c>
      <c r="G4" s="14" t="s">
        <v>8</v>
      </c>
      <c r="H4" s="14" t="s">
        <v>9</v>
      </c>
      <c r="I4" s="14" t="s">
        <v>10</v>
      </c>
      <c r="J4" s="12" t="s">
        <v>11</v>
      </c>
      <c r="K4" s="12" t="s">
        <v>12</v>
      </c>
      <c r="L4" s="15" t="s">
        <v>13</v>
      </c>
      <c r="M4" s="12" t="s">
        <v>14</v>
      </c>
      <c r="N4" s="12" t="s">
        <v>15</v>
      </c>
      <c r="O4" s="12" t="s">
        <v>16</v>
      </c>
      <c r="P4" s="1"/>
    </row>
    <row r="5" ht="52.5" customHeight="1">
      <c r="A5" s="16"/>
      <c r="B5" s="17" t="s">
        <v>17</v>
      </c>
      <c r="C5" s="18" t="b">
        <v>1</v>
      </c>
      <c r="D5" s="19">
        <v>1.0</v>
      </c>
      <c r="E5" s="19" t="str">
        <f t="shared" ref="E5:E11" si="1">TEXT(F5, "dddd")</f>
        <v>Wednesday</v>
      </c>
      <c r="F5" s="20">
        <f>B2</f>
        <v>45525</v>
      </c>
      <c r="G5" s="19" t="s">
        <v>18</v>
      </c>
      <c r="H5" s="21">
        <v>0.5</v>
      </c>
      <c r="I5" s="21">
        <v>0.5208333333333334</v>
      </c>
      <c r="J5" s="19" t="s">
        <v>799</v>
      </c>
      <c r="K5" s="19"/>
      <c r="L5" s="23" t="s">
        <v>20</v>
      </c>
      <c r="M5" s="19" t="s">
        <v>21</v>
      </c>
      <c r="N5" s="19" t="s">
        <v>22</v>
      </c>
      <c r="O5" s="24" t="s">
        <v>23</v>
      </c>
      <c r="P5" s="16"/>
    </row>
    <row r="6" ht="52.5" customHeight="1">
      <c r="A6" s="16"/>
      <c r="B6" s="25" t="s">
        <v>24</v>
      </c>
      <c r="C6" s="26" t="b">
        <v>1</v>
      </c>
      <c r="D6" s="27">
        <v>1.0</v>
      </c>
      <c r="E6" s="27" t="str">
        <f t="shared" si="1"/>
        <v>Thursday</v>
      </c>
      <c r="F6" s="28">
        <f>WORKDAY(B2, 1)</f>
        <v>45526</v>
      </c>
      <c r="G6" s="27" t="s">
        <v>18</v>
      </c>
      <c r="H6" s="29">
        <v>0.5</v>
      </c>
      <c r="I6" s="29">
        <v>0.5208333333333334</v>
      </c>
      <c r="J6" s="27" t="s">
        <v>94</v>
      </c>
      <c r="K6" s="27" t="s">
        <v>545</v>
      </c>
      <c r="L6" s="31" t="s">
        <v>25</v>
      </c>
      <c r="M6" s="32" t="s">
        <v>26</v>
      </c>
      <c r="N6" s="27" t="s">
        <v>22</v>
      </c>
      <c r="O6" s="33" t="s">
        <v>23</v>
      </c>
      <c r="P6" s="16"/>
    </row>
    <row r="7" ht="52.5" customHeight="1">
      <c r="A7" s="16"/>
      <c r="B7" s="34" t="s">
        <v>27</v>
      </c>
      <c r="C7" s="18" t="b">
        <v>1</v>
      </c>
      <c r="D7" s="35">
        <v>1.0</v>
      </c>
      <c r="E7" s="35" t="str">
        <f t="shared" si="1"/>
        <v>Friday</v>
      </c>
      <c r="F7" s="36">
        <f>WORKDAY(B2, 2)</f>
        <v>45527</v>
      </c>
      <c r="G7" s="35" t="s">
        <v>18</v>
      </c>
      <c r="H7" s="37">
        <v>0.5</v>
      </c>
      <c r="I7" s="37">
        <v>0.5208333333333334</v>
      </c>
      <c r="J7" s="35" t="s">
        <v>545</v>
      </c>
      <c r="K7" s="35" t="s">
        <v>107</v>
      </c>
      <c r="L7" s="39" t="s">
        <v>28</v>
      </c>
      <c r="M7" s="40" t="s">
        <v>800</v>
      </c>
      <c r="N7" s="35" t="s">
        <v>22</v>
      </c>
      <c r="O7" s="41" t="s">
        <v>23</v>
      </c>
      <c r="P7" s="16"/>
    </row>
    <row r="8" ht="52.5" customHeight="1">
      <c r="A8" s="16"/>
      <c r="B8" s="25" t="s">
        <v>30</v>
      </c>
      <c r="C8" s="26" t="b">
        <v>0</v>
      </c>
      <c r="D8" s="27">
        <v>2.0</v>
      </c>
      <c r="E8" s="27" t="str">
        <f t="shared" si="1"/>
        <v>Wednesday</v>
      </c>
      <c r="F8" s="28">
        <f>WORKDAY(B2, 5)</f>
        <v>45532</v>
      </c>
      <c r="G8" s="27" t="s">
        <v>18</v>
      </c>
      <c r="H8" s="29">
        <v>0.5</v>
      </c>
      <c r="I8" s="29">
        <v>0.5208333333333334</v>
      </c>
      <c r="J8" s="27" t="s">
        <v>31</v>
      </c>
      <c r="K8" s="30"/>
      <c r="L8" s="31" t="s">
        <v>32</v>
      </c>
      <c r="M8" s="32" t="s">
        <v>33</v>
      </c>
      <c r="N8" s="27" t="s">
        <v>22</v>
      </c>
      <c r="O8" s="33" t="s">
        <v>23</v>
      </c>
      <c r="P8" s="16"/>
    </row>
    <row r="9" ht="52.5" customHeight="1">
      <c r="A9" s="16"/>
      <c r="B9" s="34" t="s">
        <v>34</v>
      </c>
      <c r="C9" s="18" t="b">
        <v>0</v>
      </c>
      <c r="D9" s="35">
        <v>2.0</v>
      </c>
      <c r="E9" s="35" t="str">
        <f t="shared" si="1"/>
        <v>Thursday</v>
      </c>
      <c r="F9" s="36">
        <f>WORKDAY(B2, 6)</f>
        <v>45533</v>
      </c>
      <c r="G9" s="35" t="s">
        <v>18</v>
      </c>
      <c r="H9" s="37">
        <v>0.5</v>
      </c>
      <c r="I9" s="37">
        <v>0.5208333333333334</v>
      </c>
      <c r="J9" s="35" t="s">
        <v>114</v>
      </c>
      <c r="K9" s="35" t="s">
        <v>121</v>
      </c>
      <c r="L9" s="42" t="s">
        <v>801</v>
      </c>
      <c r="M9" s="40" t="s">
        <v>36</v>
      </c>
      <c r="N9" s="35" t="s">
        <v>22</v>
      </c>
      <c r="O9" s="41" t="s">
        <v>37</v>
      </c>
      <c r="P9" s="16"/>
    </row>
    <row r="10" ht="52.5" customHeight="1">
      <c r="A10" s="16"/>
      <c r="B10" s="25" t="s">
        <v>38</v>
      </c>
      <c r="C10" s="26" t="b">
        <v>1</v>
      </c>
      <c r="D10" s="27">
        <v>2.0</v>
      </c>
      <c r="E10" s="27" t="str">
        <f t="shared" si="1"/>
        <v>Thursday</v>
      </c>
      <c r="F10" s="28">
        <f>WORKDAY(B2, 6)</f>
        <v>45533</v>
      </c>
      <c r="G10" s="27" t="s">
        <v>39</v>
      </c>
      <c r="H10" s="29">
        <v>0.5208333333333334</v>
      </c>
      <c r="I10" s="29">
        <v>0.5625</v>
      </c>
      <c r="J10" s="27" t="s">
        <v>117</v>
      </c>
      <c r="K10" s="27" t="s">
        <v>588</v>
      </c>
      <c r="L10" s="31" t="s">
        <v>40</v>
      </c>
      <c r="M10" s="32" t="s">
        <v>41</v>
      </c>
      <c r="N10" s="32" t="s">
        <v>42</v>
      </c>
      <c r="O10" s="43" t="s">
        <v>37</v>
      </c>
      <c r="P10" s="16"/>
    </row>
    <row r="11" ht="52.5" customHeight="1">
      <c r="A11" s="16"/>
      <c r="B11" s="34" t="s">
        <v>43</v>
      </c>
      <c r="C11" s="18" t="b">
        <v>1</v>
      </c>
      <c r="D11" s="35">
        <v>2.0</v>
      </c>
      <c r="E11" s="35" t="str">
        <f t="shared" si="1"/>
        <v>Friday</v>
      </c>
      <c r="F11" s="36">
        <f>WORKDAY(B2, 7)</f>
        <v>45534</v>
      </c>
      <c r="G11" s="35" t="s">
        <v>18</v>
      </c>
      <c r="H11" s="37">
        <v>0.5</v>
      </c>
      <c r="I11" s="37">
        <v>0.5208333333333334</v>
      </c>
      <c r="J11" s="35" t="s">
        <v>118</v>
      </c>
      <c r="K11" s="38"/>
      <c r="L11" s="39" t="s">
        <v>44</v>
      </c>
      <c r="M11" s="46" t="s">
        <v>802</v>
      </c>
      <c r="N11" s="35" t="s">
        <v>22</v>
      </c>
      <c r="O11" s="41" t="s">
        <v>23</v>
      </c>
      <c r="P11" s="16"/>
    </row>
    <row r="12" ht="52.5" customHeight="1">
      <c r="A12" s="16"/>
      <c r="B12" s="25" t="s">
        <v>46</v>
      </c>
      <c r="C12" s="26" t="b">
        <v>1</v>
      </c>
      <c r="D12" s="27">
        <v>2.0</v>
      </c>
      <c r="E12" s="27" t="s">
        <v>803</v>
      </c>
      <c r="F12" s="28">
        <v>45537.0</v>
      </c>
      <c r="G12" s="27" t="s">
        <v>18</v>
      </c>
      <c r="H12" s="29">
        <v>0.5208333333333334</v>
      </c>
      <c r="I12" s="29">
        <v>0.5416666666666666</v>
      </c>
      <c r="J12" s="27" t="s">
        <v>119</v>
      </c>
      <c r="K12" s="30"/>
      <c r="L12" s="31" t="s">
        <v>47</v>
      </c>
      <c r="M12" s="27" t="s">
        <v>22</v>
      </c>
      <c r="N12" s="27" t="s">
        <v>22</v>
      </c>
      <c r="O12" s="33" t="s">
        <v>23</v>
      </c>
      <c r="P12" s="16"/>
    </row>
    <row r="13" ht="52.5" customHeight="1">
      <c r="A13" s="16"/>
      <c r="B13" s="34" t="s">
        <v>48</v>
      </c>
      <c r="C13" s="18" t="b">
        <v>1</v>
      </c>
      <c r="D13" s="35">
        <v>3.0</v>
      </c>
      <c r="E13" s="35" t="str">
        <f t="shared" ref="E13:E33" si="2">TEXT(F13, "dddd")</f>
        <v>Thursday</v>
      </c>
      <c r="F13" s="36">
        <f>WORKDAY(B2, 11)</f>
        <v>45540</v>
      </c>
      <c r="G13" s="35" t="s">
        <v>39</v>
      </c>
      <c r="H13" s="37">
        <v>0.5</v>
      </c>
      <c r="I13" s="37">
        <v>0.5416666666666666</v>
      </c>
      <c r="J13" s="35" t="s">
        <v>117</v>
      </c>
      <c r="K13" s="35" t="s">
        <v>112</v>
      </c>
      <c r="L13" s="39" t="s">
        <v>49</v>
      </c>
      <c r="M13" s="35" t="s">
        <v>22</v>
      </c>
      <c r="N13" s="35" t="s">
        <v>22</v>
      </c>
      <c r="O13" s="41" t="s">
        <v>37</v>
      </c>
      <c r="P13" s="16"/>
    </row>
    <row r="14" ht="52.5" customHeight="1">
      <c r="A14" s="16"/>
      <c r="B14" s="25" t="s">
        <v>51</v>
      </c>
      <c r="C14" s="26" t="b">
        <v>0</v>
      </c>
      <c r="D14" s="27">
        <v>3.0</v>
      </c>
      <c r="E14" s="27" t="str">
        <f t="shared" si="2"/>
        <v>Friday</v>
      </c>
      <c r="F14" s="28">
        <f>WORKDAY(B2, 12)</f>
        <v>45541</v>
      </c>
      <c r="G14" s="27" t="s">
        <v>18</v>
      </c>
      <c r="H14" s="29">
        <v>0.5</v>
      </c>
      <c r="I14" s="29">
        <v>0.5208333333333334</v>
      </c>
      <c r="J14" s="30"/>
      <c r="K14" s="30"/>
      <c r="L14" s="31" t="s">
        <v>52</v>
      </c>
      <c r="M14" s="32" t="s">
        <v>678</v>
      </c>
      <c r="N14" s="32" t="s">
        <v>42</v>
      </c>
      <c r="O14" s="43" t="s">
        <v>50</v>
      </c>
      <c r="P14" s="16"/>
    </row>
    <row r="15" ht="52.5" customHeight="1">
      <c r="A15" s="16"/>
      <c r="B15" s="34" t="s">
        <v>54</v>
      </c>
      <c r="C15" s="18" t="b">
        <v>0</v>
      </c>
      <c r="D15" s="35">
        <v>3.0</v>
      </c>
      <c r="E15" s="35" t="str">
        <f t="shared" si="2"/>
        <v>Friday</v>
      </c>
      <c r="F15" s="36">
        <f>WORKDAY(B2, 12)</f>
        <v>45541</v>
      </c>
      <c r="G15" s="35" t="s">
        <v>18</v>
      </c>
      <c r="H15" s="37">
        <v>0.5416666666666666</v>
      </c>
      <c r="I15" s="37">
        <v>0.5625</v>
      </c>
      <c r="J15" s="38"/>
      <c r="K15" s="38"/>
      <c r="L15" s="39" t="s">
        <v>55</v>
      </c>
      <c r="M15" s="40" t="s">
        <v>804</v>
      </c>
      <c r="N15" s="35" t="s">
        <v>57</v>
      </c>
      <c r="O15" s="41" t="s">
        <v>50</v>
      </c>
      <c r="P15" s="16"/>
    </row>
    <row r="16" ht="52.5" customHeight="1">
      <c r="A16" s="16"/>
      <c r="B16" s="25" t="s">
        <v>58</v>
      </c>
      <c r="C16" s="26" t="b">
        <v>0</v>
      </c>
      <c r="D16" s="27">
        <v>3.0</v>
      </c>
      <c r="E16" s="27" t="str">
        <f t="shared" si="2"/>
        <v>Monday</v>
      </c>
      <c r="F16" s="28">
        <f>WORKDAY(B2, 13)</f>
        <v>45544</v>
      </c>
      <c r="G16" s="27" t="s">
        <v>18</v>
      </c>
      <c r="H16" s="29">
        <v>0.5</v>
      </c>
      <c r="I16" s="29">
        <v>0.5208333333333334</v>
      </c>
      <c r="J16" s="27" t="s">
        <v>799</v>
      </c>
      <c r="K16" s="30"/>
      <c r="L16" s="31" t="s">
        <v>59</v>
      </c>
      <c r="M16" s="44" t="s">
        <v>22</v>
      </c>
      <c r="N16" s="27" t="s">
        <v>22</v>
      </c>
      <c r="O16" s="33" t="s">
        <v>23</v>
      </c>
      <c r="P16" s="16"/>
    </row>
    <row r="17" ht="52.5" customHeight="1">
      <c r="A17" s="16"/>
      <c r="B17" s="34" t="s">
        <v>60</v>
      </c>
      <c r="C17" s="18" t="b">
        <v>1</v>
      </c>
      <c r="D17" s="35">
        <v>4.0</v>
      </c>
      <c r="E17" s="35" t="str">
        <f t="shared" si="2"/>
        <v>Tuesday</v>
      </c>
      <c r="F17" s="36">
        <v>45545.0</v>
      </c>
      <c r="G17" s="35" t="s">
        <v>18</v>
      </c>
      <c r="H17" s="37">
        <v>0.5625</v>
      </c>
      <c r="I17" s="37">
        <v>0.5833333333333334</v>
      </c>
      <c r="J17" s="35" t="s">
        <v>562</v>
      </c>
      <c r="K17" s="35" t="s">
        <v>805</v>
      </c>
      <c r="L17" s="39" t="s">
        <v>61</v>
      </c>
      <c r="M17" s="40" t="s">
        <v>806</v>
      </c>
      <c r="N17" s="35" t="s">
        <v>22</v>
      </c>
      <c r="O17" s="41" t="s">
        <v>37</v>
      </c>
      <c r="P17" s="16"/>
    </row>
    <row r="18" ht="52.5" customHeight="1">
      <c r="A18" s="16"/>
      <c r="B18" s="25" t="s">
        <v>63</v>
      </c>
      <c r="C18" s="26" t="b">
        <v>1</v>
      </c>
      <c r="D18" s="27">
        <v>4.0</v>
      </c>
      <c r="E18" s="27" t="str">
        <f t="shared" si="2"/>
        <v>Thursday</v>
      </c>
      <c r="F18" s="28">
        <v>45547.0</v>
      </c>
      <c r="G18" s="27" t="s">
        <v>18</v>
      </c>
      <c r="H18" s="29">
        <v>0.4791666666666667</v>
      </c>
      <c r="I18" s="29">
        <v>0.5</v>
      </c>
      <c r="J18" s="27" t="s">
        <v>562</v>
      </c>
      <c r="K18" s="27" t="s">
        <v>126</v>
      </c>
      <c r="L18" s="31" t="s">
        <v>64</v>
      </c>
      <c r="M18" s="45" t="s">
        <v>65</v>
      </c>
      <c r="N18" s="27" t="s">
        <v>22</v>
      </c>
      <c r="O18" s="33" t="s">
        <v>66</v>
      </c>
      <c r="P18" s="16"/>
    </row>
    <row r="19" ht="52.5" customHeight="1">
      <c r="A19" s="16"/>
      <c r="B19" s="34" t="s">
        <v>67</v>
      </c>
      <c r="C19" s="18" t="b">
        <v>1</v>
      </c>
      <c r="D19" s="35">
        <v>4.0</v>
      </c>
      <c r="E19" s="35" t="str">
        <f t="shared" si="2"/>
        <v>Thursday</v>
      </c>
      <c r="F19" s="36">
        <v>45547.0</v>
      </c>
      <c r="G19" s="35" t="s">
        <v>68</v>
      </c>
      <c r="H19" s="37">
        <v>0.5</v>
      </c>
      <c r="I19" s="37">
        <v>0.5104166666666666</v>
      </c>
      <c r="J19" s="35" t="s">
        <v>562</v>
      </c>
      <c r="K19" s="35" t="s">
        <v>126</v>
      </c>
      <c r="L19" s="39" t="s">
        <v>69</v>
      </c>
      <c r="M19" s="46"/>
      <c r="N19" s="40" t="s">
        <v>42</v>
      </c>
      <c r="O19" s="47" t="s">
        <v>66</v>
      </c>
      <c r="P19" s="16"/>
    </row>
    <row r="20" ht="52.5" customHeight="1">
      <c r="A20" s="16"/>
      <c r="B20" s="25" t="s">
        <v>71</v>
      </c>
      <c r="C20" s="26" t="b">
        <v>0</v>
      </c>
      <c r="D20" s="27">
        <v>4.0</v>
      </c>
      <c r="E20" s="27" t="str">
        <f t="shared" si="2"/>
        <v>Saturday</v>
      </c>
      <c r="F20" s="28"/>
      <c r="G20" s="27" t="s">
        <v>18</v>
      </c>
      <c r="H20" s="29">
        <v>0.5</v>
      </c>
      <c r="I20" s="29">
        <v>0.5208333333333334</v>
      </c>
      <c r="J20" s="27" t="s">
        <v>94</v>
      </c>
      <c r="K20" s="27" t="s">
        <v>545</v>
      </c>
      <c r="L20" s="31" t="s">
        <v>72</v>
      </c>
      <c r="M20" s="45" t="s">
        <v>73</v>
      </c>
      <c r="N20" s="44" t="s">
        <v>22</v>
      </c>
      <c r="O20" s="43" t="s">
        <v>23</v>
      </c>
      <c r="P20" s="16"/>
    </row>
    <row r="21" ht="52.5" customHeight="1">
      <c r="A21" s="16"/>
      <c r="B21" s="34" t="s">
        <v>74</v>
      </c>
      <c r="C21" s="18" t="b">
        <v>0</v>
      </c>
      <c r="D21" s="35">
        <v>4.0</v>
      </c>
      <c r="E21" s="35" t="str">
        <f t="shared" si="2"/>
        <v>Monday</v>
      </c>
      <c r="F21" s="36">
        <f>WORKDAY(B2, 18)</f>
        <v>45551</v>
      </c>
      <c r="G21" s="35" t="s">
        <v>39</v>
      </c>
      <c r="H21" s="37">
        <v>0.5</v>
      </c>
      <c r="I21" s="37">
        <v>0.5416666666666666</v>
      </c>
      <c r="J21" s="38"/>
      <c r="K21" s="38"/>
      <c r="L21" s="35" t="s">
        <v>75</v>
      </c>
      <c r="M21" s="46" t="s">
        <v>22</v>
      </c>
      <c r="N21" s="46" t="s">
        <v>22</v>
      </c>
      <c r="O21" s="47" t="s">
        <v>50</v>
      </c>
      <c r="P21" s="16"/>
    </row>
    <row r="22" ht="52.5" customHeight="1">
      <c r="A22" s="16"/>
      <c r="B22" s="25" t="s">
        <v>76</v>
      </c>
      <c r="C22" s="26" t="b">
        <v>1</v>
      </c>
      <c r="D22" s="27">
        <v>5.0</v>
      </c>
      <c r="E22" s="27" t="str">
        <f t="shared" si="2"/>
        <v>Saturday</v>
      </c>
      <c r="F22" s="28"/>
      <c r="G22" s="27" t="s">
        <v>18</v>
      </c>
      <c r="H22" s="29">
        <v>0.5</v>
      </c>
      <c r="I22" s="29">
        <v>0.5208333333333334</v>
      </c>
      <c r="J22" s="27" t="s">
        <v>110</v>
      </c>
      <c r="K22" s="27" t="s">
        <v>807</v>
      </c>
      <c r="L22" s="48" t="s">
        <v>808</v>
      </c>
      <c r="M22" s="32" t="s">
        <v>78</v>
      </c>
      <c r="N22" s="44" t="s">
        <v>22</v>
      </c>
      <c r="O22" s="43" t="s">
        <v>37</v>
      </c>
      <c r="P22" s="16"/>
    </row>
    <row r="23" ht="52.5" customHeight="1">
      <c r="A23" s="16"/>
      <c r="B23" s="34" t="s">
        <v>79</v>
      </c>
      <c r="C23" s="18" t="b">
        <v>1</v>
      </c>
      <c r="D23" s="35">
        <v>5.0</v>
      </c>
      <c r="E23" s="35" t="str">
        <f t="shared" si="2"/>
        <v>Thursday</v>
      </c>
      <c r="F23" s="36">
        <v>45526.0</v>
      </c>
      <c r="G23" s="35" t="s">
        <v>39</v>
      </c>
      <c r="H23" s="37">
        <v>0.5</v>
      </c>
      <c r="I23" s="37">
        <v>0.5416666666666666</v>
      </c>
      <c r="J23" s="35" t="s">
        <v>110</v>
      </c>
      <c r="K23" s="35" t="s">
        <v>809</v>
      </c>
      <c r="L23" s="39" t="s">
        <v>80</v>
      </c>
      <c r="M23" s="40" t="s">
        <v>81</v>
      </c>
      <c r="N23" s="40" t="s">
        <v>570</v>
      </c>
      <c r="O23" s="47" t="s">
        <v>37</v>
      </c>
      <c r="P23" s="16"/>
    </row>
    <row r="24" ht="52.5" customHeight="1">
      <c r="A24" s="16"/>
      <c r="B24" s="25" t="s">
        <v>92</v>
      </c>
      <c r="C24" s="120" t="b">
        <v>0</v>
      </c>
      <c r="D24" s="27">
        <v>5.0</v>
      </c>
      <c r="E24" s="27" t="str">
        <f t="shared" si="2"/>
        <v>TBD</v>
      </c>
      <c r="F24" s="27" t="s">
        <v>93</v>
      </c>
      <c r="G24" s="27" t="s">
        <v>18</v>
      </c>
      <c r="H24" s="27" t="s">
        <v>93</v>
      </c>
      <c r="I24" s="27" t="s">
        <v>93</v>
      </c>
      <c r="J24" s="27" t="s">
        <v>94</v>
      </c>
      <c r="K24" s="27" t="s">
        <v>95</v>
      </c>
      <c r="L24" s="31" t="s">
        <v>693</v>
      </c>
      <c r="M24" s="27"/>
      <c r="N24" s="27"/>
      <c r="O24" s="33" t="s">
        <v>98</v>
      </c>
      <c r="P24" s="16" t="s">
        <v>694</v>
      </c>
    </row>
    <row r="25" ht="52.5" customHeight="1">
      <c r="A25" s="16"/>
      <c r="B25" s="34" t="s">
        <v>83</v>
      </c>
      <c r="C25" s="18" t="b">
        <v>0</v>
      </c>
      <c r="D25" s="35">
        <v>5.0</v>
      </c>
      <c r="E25" s="35" t="str">
        <f t="shared" si="2"/>
        <v>Friday</v>
      </c>
      <c r="F25" s="36">
        <f>WORKDAY(B2, 22)</f>
        <v>45555</v>
      </c>
      <c r="G25" s="35" t="s">
        <v>18</v>
      </c>
      <c r="H25" s="37">
        <v>0.5</v>
      </c>
      <c r="I25" s="37">
        <v>0.5416666666666666</v>
      </c>
      <c r="J25" s="35" t="s">
        <v>94</v>
      </c>
      <c r="K25" s="35" t="s">
        <v>810</v>
      </c>
      <c r="L25" s="39" t="s">
        <v>84</v>
      </c>
      <c r="M25" s="40" t="s">
        <v>85</v>
      </c>
      <c r="N25" s="40" t="s">
        <v>811</v>
      </c>
      <c r="O25" s="47" t="s">
        <v>37</v>
      </c>
      <c r="P25" s="16"/>
    </row>
    <row r="26" ht="52.5" customHeight="1">
      <c r="A26" s="16"/>
      <c r="B26" s="25" t="s">
        <v>87</v>
      </c>
      <c r="C26" s="26" t="b">
        <v>0</v>
      </c>
      <c r="D26" s="27">
        <v>5.0</v>
      </c>
      <c r="E26" s="27" t="str">
        <f t="shared" si="2"/>
        <v>Monday</v>
      </c>
      <c r="F26" s="28">
        <f>WORKDAY(B2, 23)</f>
        <v>45558</v>
      </c>
      <c r="G26" s="27" t="s">
        <v>39</v>
      </c>
      <c r="H26" s="29">
        <v>0.5</v>
      </c>
      <c r="I26" s="29">
        <v>0.5416666666666666</v>
      </c>
      <c r="J26" s="27" t="s">
        <v>107</v>
      </c>
      <c r="K26" s="27" t="s">
        <v>114</v>
      </c>
      <c r="L26" s="31" t="s">
        <v>812</v>
      </c>
      <c r="M26" s="32" t="s">
        <v>89</v>
      </c>
      <c r="N26" s="32" t="s">
        <v>42</v>
      </c>
      <c r="O26" s="43" t="s">
        <v>37</v>
      </c>
      <c r="P26" s="16"/>
    </row>
    <row r="27" ht="52.5" customHeight="1">
      <c r="A27" s="16"/>
      <c r="B27" s="34" t="s">
        <v>90</v>
      </c>
      <c r="C27" s="18" t="b">
        <v>1</v>
      </c>
      <c r="D27" s="35">
        <v>5.0</v>
      </c>
      <c r="E27" s="35" t="str">
        <f t="shared" si="2"/>
        <v>Monday</v>
      </c>
      <c r="F27" s="36">
        <f>WORKDAY(B2, 23)</f>
        <v>45558</v>
      </c>
      <c r="G27" s="35" t="s">
        <v>18</v>
      </c>
      <c r="H27" s="63">
        <v>0.5625</v>
      </c>
      <c r="I27" s="37">
        <v>0.5833333333333334</v>
      </c>
      <c r="J27" s="35" t="s">
        <v>562</v>
      </c>
      <c r="K27" s="35" t="s">
        <v>126</v>
      </c>
      <c r="L27" s="39" t="s">
        <v>91</v>
      </c>
      <c r="M27" s="35" t="s">
        <v>22</v>
      </c>
      <c r="N27" s="35" t="s">
        <v>22</v>
      </c>
      <c r="O27" s="41" t="s">
        <v>37</v>
      </c>
      <c r="P27" s="16"/>
    </row>
    <row r="28" ht="52.5" customHeight="1">
      <c r="A28" s="16"/>
      <c r="B28" s="533" t="s">
        <v>92</v>
      </c>
      <c r="C28" s="534" t="b">
        <v>0</v>
      </c>
      <c r="D28" s="535">
        <v>5.0</v>
      </c>
      <c r="E28" s="535" t="str">
        <f t="shared" si="2"/>
        <v>TBD</v>
      </c>
      <c r="F28" s="536" t="s">
        <v>93</v>
      </c>
      <c r="G28" s="535" t="s">
        <v>18</v>
      </c>
      <c r="H28" s="537" t="s">
        <v>93</v>
      </c>
      <c r="I28" s="538" t="s">
        <v>93</v>
      </c>
      <c r="J28" s="539" t="s">
        <v>94</v>
      </c>
      <c r="K28" s="539" t="s">
        <v>95</v>
      </c>
      <c r="L28" s="540" t="s">
        <v>96</v>
      </c>
      <c r="M28" s="541" t="s">
        <v>97</v>
      </c>
      <c r="N28" s="542"/>
      <c r="O28" s="543" t="s">
        <v>98</v>
      </c>
      <c r="P28" s="16"/>
    </row>
    <row r="29" ht="52.5" customHeight="1">
      <c r="A29" s="16"/>
      <c r="B29" s="34" t="s">
        <v>813</v>
      </c>
      <c r="C29" s="18" t="b">
        <v>1</v>
      </c>
      <c r="D29" s="35">
        <v>6.0</v>
      </c>
      <c r="E29" s="35" t="str">
        <f t="shared" si="2"/>
        <v>Thursday</v>
      </c>
      <c r="F29" s="36">
        <f>WORKDAY(B2, 21)</f>
        <v>45554</v>
      </c>
      <c r="G29" s="35" t="s">
        <v>18</v>
      </c>
      <c r="H29" s="37">
        <v>0.5</v>
      </c>
      <c r="I29" s="37">
        <v>0.5208333333333334</v>
      </c>
      <c r="J29" s="35" t="s">
        <v>19</v>
      </c>
      <c r="K29" s="38"/>
      <c r="L29" s="35" t="s">
        <v>100</v>
      </c>
      <c r="M29" s="35" t="s">
        <v>22</v>
      </c>
      <c r="N29" s="35" t="s">
        <v>22</v>
      </c>
      <c r="O29" s="41" t="s">
        <v>23</v>
      </c>
      <c r="P29" s="16"/>
    </row>
    <row r="30" ht="52.5" customHeight="1">
      <c r="A30" s="61"/>
      <c r="B30" s="25" t="s">
        <v>101</v>
      </c>
      <c r="C30" s="26" t="b">
        <v>0</v>
      </c>
      <c r="D30" s="27">
        <v>6.0</v>
      </c>
      <c r="E30" s="27" t="str">
        <f t="shared" si="2"/>
        <v>Thursday</v>
      </c>
      <c r="F30" s="544">
        <f>WORKDAY(B2, 26)</f>
        <v>45561</v>
      </c>
      <c r="G30" s="27" t="s">
        <v>18</v>
      </c>
      <c r="H30" s="29">
        <v>0.5</v>
      </c>
      <c r="I30" s="29">
        <v>0.5208333333333334</v>
      </c>
      <c r="J30" s="27" t="s">
        <v>112</v>
      </c>
      <c r="K30" s="27"/>
      <c r="L30" s="27" t="s">
        <v>22</v>
      </c>
      <c r="M30" s="27" t="s">
        <v>22</v>
      </c>
      <c r="N30" s="30"/>
      <c r="O30" s="33" t="s">
        <v>37</v>
      </c>
      <c r="P30" s="61"/>
    </row>
    <row r="31" ht="52.5" customHeight="1">
      <c r="A31" s="61"/>
      <c r="B31" s="34" t="s">
        <v>102</v>
      </c>
      <c r="C31" s="18" t="b">
        <v>0</v>
      </c>
      <c r="D31" s="35" t="s">
        <v>103</v>
      </c>
      <c r="E31" s="35" t="str">
        <f t="shared" si="2"/>
        <v>Friday</v>
      </c>
      <c r="F31" s="36">
        <f>WORKDAY(B2, 42)</f>
        <v>45583</v>
      </c>
      <c r="G31" s="35" t="s">
        <v>18</v>
      </c>
      <c r="H31" s="63">
        <v>0.5</v>
      </c>
      <c r="I31" s="37">
        <v>0.5208333333333334</v>
      </c>
      <c r="J31" s="35" t="s">
        <v>110</v>
      </c>
      <c r="K31" s="35"/>
      <c r="L31" s="35" t="s">
        <v>22</v>
      </c>
      <c r="M31" s="35" t="s">
        <v>22</v>
      </c>
      <c r="N31" s="35" t="s">
        <v>22</v>
      </c>
      <c r="O31" s="41" t="s">
        <v>23</v>
      </c>
      <c r="P31" s="61"/>
    </row>
    <row r="32" ht="52.5" customHeight="1">
      <c r="A32" s="61"/>
      <c r="B32" s="25" t="s">
        <v>104</v>
      </c>
      <c r="C32" s="26" t="b">
        <v>0</v>
      </c>
      <c r="D32" s="27" t="s">
        <v>103</v>
      </c>
      <c r="E32" s="27" t="str">
        <f t="shared" si="2"/>
        <v>Friday</v>
      </c>
      <c r="F32" s="28">
        <f>WORKDAY(B2, 42)</f>
        <v>45583</v>
      </c>
      <c r="G32" s="27" t="s">
        <v>18</v>
      </c>
      <c r="H32" s="49">
        <v>0.5</v>
      </c>
      <c r="I32" s="29">
        <v>0.5208333333333334</v>
      </c>
      <c r="J32" s="27" t="s">
        <v>110</v>
      </c>
      <c r="K32" s="27"/>
      <c r="L32" s="27" t="s">
        <v>22</v>
      </c>
      <c r="M32" s="27" t="s">
        <v>22</v>
      </c>
      <c r="N32" s="30"/>
      <c r="O32" s="33" t="s">
        <v>23</v>
      </c>
      <c r="P32" s="61"/>
    </row>
    <row r="33" ht="52.5" customHeight="1">
      <c r="A33" s="61"/>
      <c r="B33" s="123" t="s">
        <v>105</v>
      </c>
      <c r="C33" s="18" t="b">
        <v>0</v>
      </c>
      <c r="D33" s="124" t="s">
        <v>103</v>
      </c>
      <c r="E33" s="124" t="str">
        <f t="shared" si="2"/>
        <v>Monday</v>
      </c>
      <c r="F33" s="125">
        <f>WORKDAY(B2,63)</f>
        <v>45614</v>
      </c>
      <c r="G33" s="124" t="s">
        <v>18</v>
      </c>
      <c r="H33" s="126">
        <v>0.5</v>
      </c>
      <c r="I33" s="127">
        <v>0.5208333333333334</v>
      </c>
      <c r="J33" s="35" t="s">
        <v>110</v>
      </c>
      <c r="K33" s="124"/>
      <c r="L33" s="124" t="s">
        <v>22</v>
      </c>
      <c r="M33" s="124" t="s">
        <v>22</v>
      </c>
      <c r="N33" s="124" t="s">
        <v>22</v>
      </c>
      <c r="O33" s="128" t="s">
        <v>23</v>
      </c>
      <c r="P33" s="61"/>
    </row>
    <row r="34">
      <c r="A34" s="3"/>
      <c r="B34" s="3"/>
      <c r="C34" s="2"/>
      <c r="D34" s="3"/>
      <c r="E34" s="70"/>
      <c r="F34" s="70"/>
      <c r="G34" s="71"/>
      <c r="H34" s="71"/>
      <c r="I34" s="71"/>
      <c r="J34" s="3"/>
      <c r="K34" s="3"/>
      <c r="L34" s="72"/>
      <c r="M34" s="3"/>
      <c r="N34" s="3"/>
      <c r="O34" s="3"/>
      <c r="P34" s="3"/>
    </row>
  </sheetData>
  <autoFilter ref="$B$4:$O$33"/>
  <mergeCells count="1">
    <mergeCell ref="D3:O3"/>
  </mergeCells>
  <hyperlinks>
    <hyperlink r:id="rId1" ref="C2"/>
    <hyperlink r:id="rId2" ref="B3"/>
    <hyperlink r:id="rId3" location="slide=id.gf32bf9945b_0_954" ref="M6"/>
    <hyperlink r:id="rId4" ref="M7"/>
    <hyperlink r:id="rId5" ref="M8"/>
    <hyperlink r:id="rId6" location="Trafficking101-IAS" ref="L9"/>
    <hyperlink r:id="rId7" ref="M9"/>
    <hyperlink r:id="rId8" ref="M10"/>
    <hyperlink r:id="rId9" ref="N10"/>
    <hyperlink r:id="rId10" location="Trafficking101-Youtube" ref="M14"/>
    <hyperlink r:id="rId11" ref="N14"/>
    <hyperlink r:id="rId12" location="gid=2144868993" ref="M15"/>
    <hyperlink r:id="rId13" ref="M17"/>
    <hyperlink r:id="rId14" ref="M18"/>
    <hyperlink r:id="rId15" ref="N19"/>
    <hyperlink r:id="rId16" location="gid=1399114443" ref="M20"/>
    <hyperlink r:id="rId17" location="slide=id.g2f43aa87b32_0_16" ref="L22"/>
    <hyperlink r:id="rId18" ref="M22"/>
    <hyperlink r:id="rId19" ref="M23"/>
    <hyperlink r:id="rId20" ref="N23"/>
    <hyperlink r:id="rId21" ref="M25"/>
    <hyperlink r:id="rId22" ref="N25"/>
    <hyperlink r:id="rId23" ref="M26"/>
    <hyperlink r:id="rId24" ref="N26"/>
    <hyperlink r:id="rId25" location="slide=id.g2c6c71b5974_2_22" ref="M28"/>
  </hyperlinks>
  <drawing r:id="rId2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13"/>
    <col customWidth="1" min="2" max="2" width="36.25"/>
    <col customWidth="1" min="3" max="3" width="19.25"/>
    <col customWidth="1" min="4" max="4" width="5.75"/>
    <col customWidth="1" min="12" max="12" width="57.0"/>
    <col customWidth="1" min="13" max="13" width="31.38"/>
    <col customWidth="1" min="14" max="14" width="58.38"/>
    <col customWidth="1" min="15" max="15" width="24.0"/>
  </cols>
  <sheetData>
    <row r="1">
      <c r="A1" s="305"/>
      <c r="B1" s="545" t="s">
        <v>575</v>
      </c>
      <c r="E1" s="305"/>
      <c r="F1" s="305"/>
      <c r="G1" s="305"/>
      <c r="H1" s="305"/>
      <c r="I1" s="305"/>
      <c r="J1" s="305"/>
      <c r="K1" s="305"/>
      <c r="L1" s="331"/>
      <c r="M1" s="305"/>
      <c r="N1" s="305"/>
      <c r="P1" s="302"/>
      <c r="Q1" s="302"/>
      <c r="R1" s="302"/>
      <c r="S1" s="302"/>
      <c r="T1" s="302"/>
      <c r="U1" s="302"/>
      <c r="V1" s="302"/>
      <c r="W1" s="302"/>
      <c r="X1" s="302"/>
      <c r="Y1" s="302"/>
      <c r="Z1" s="302"/>
      <c r="AA1" s="302"/>
      <c r="AB1" s="302"/>
      <c r="AC1" s="302"/>
      <c r="AD1" s="302"/>
      <c r="AE1" s="302"/>
    </row>
    <row r="2">
      <c r="A2" s="305"/>
      <c r="B2" s="546" t="s">
        <v>814</v>
      </c>
      <c r="C2" s="547"/>
      <c r="D2" s="547" t="s">
        <v>815</v>
      </c>
      <c r="E2" s="548"/>
      <c r="F2" s="548"/>
      <c r="G2" s="548"/>
      <c r="H2" s="548"/>
      <c r="I2" s="548"/>
      <c r="J2" s="548"/>
      <c r="K2" s="548"/>
      <c r="L2" s="548"/>
      <c r="M2" s="548"/>
      <c r="N2" s="549"/>
      <c r="P2" s="302"/>
      <c r="Q2" s="302"/>
      <c r="R2" s="302"/>
      <c r="S2" s="302"/>
      <c r="T2" s="302"/>
      <c r="U2" s="302"/>
      <c r="V2" s="302"/>
      <c r="W2" s="302"/>
      <c r="X2" s="302"/>
      <c r="Y2" s="302"/>
      <c r="Z2" s="302"/>
      <c r="AA2" s="302"/>
      <c r="AB2" s="302"/>
      <c r="AC2" s="302"/>
      <c r="AD2" s="302"/>
      <c r="AE2" s="302"/>
    </row>
    <row r="3">
      <c r="A3" s="305"/>
      <c r="B3" s="550" t="s">
        <v>3</v>
      </c>
      <c r="C3" s="551" t="s">
        <v>816</v>
      </c>
      <c r="D3" s="551" t="s">
        <v>5</v>
      </c>
      <c r="E3" s="551" t="s">
        <v>6</v>
      </c>
      <c r="F3" s="551" t="s">
        <v>7</v>
      </c>
      <c r="G3" s="551" t="s">
        <v>8</v>
      </c>
      <c r="H3" s="551" t="s">
        <v>9</v>
      </c>
      <c r="I3" s="551" t="s">
        <v>10</v>
      </c>
      <c r="J3" s="551" t="s">
        <v>11</v>
      </c>
      <c r="K3" s="551" t="s">
        <v>12</v>
      </c>
      <c r="L3" s="552" t="s">
        <v>13</v>
      </c>
      <c r="M3" s="551" t="s">
        <v>14</v>
      </c>
      <c r="N3" s="553" t="s">
        <v>15</v>
      </c>
      <c r="P3" s="302"/>
      <c r="Q3" s="302"/>
      <c r="R3" s="302"/>
      <c r="S3" s="302"/>
      <c r="T3" s="302"/>
      <c r="U3" s="302"/>
      <c r="V3" s="302"/>
      <c r="W3" s="302"/>
      <c r="X3" s="302"/>
      <c r="Y3" s="302"/>
      <c r="Z3" s="302"/>
      <c r="AA3" s="302"/>
      <c r="AB3" s="302"/>
      <c r="AC3" s="302"/>
      <c r="AD3" s="302"/>
      <c r="AE3" s="302"/>
    </row>
    <row r="4" ht="75.0" customHeight="1">
      <c r="A4" s="222"/>
      <c r="B4" s="554" t="s">
        <v>542</v>
      </c>
      <c r="C4" s="555" t="b">
        <v>1</v>
      </c>
      <c r="D4" s="555">
        <v>1.0</v>
      </c>
      <c r="E4" s="555" t="s">
        <v>548</v>
      </c>
      <c r="F4" s="556">
        <v>45398.0</v>
      </c>
      <c r="G4" s="555" t="s">
        <v>18</v>
      </c>
      <c r="H4" s="557">
        <v>0.4791666666666667</v>
      </c>
      <c r="I4" s="557">
        <v>0.5</v>
      </c>
      <c r="J4" s="555" t="s">
        <v>114</v>
      </c>
      <c r="K4" s="558"/>
      <c r="L4" s="559" t="s">
        <v>20</v>
      </c>
      <c r="M4" s="555" t="s">
        <v>21</v>
      </c>
      <c r="N4" s="560" t="s">
        <v>22</v>
      </c>
    </row>
    <row r="5" ht="75.0" customHeight="1">
      <c r="A5" s="222"/>
      <c r="B5" s="561" t="s">
        <v>24</v>
      </c>
      <c r="C5" s="562" t="b">
        <v>1</v>
      </c>
      <c r="D5" s="562">
        <v>1.0</v>
      </c>
      <c r="E5" s="562" t="s">
        <v>556</v>
      </c>
      <c r="F5" s="563">
        <v>45406.0</v>
      </c>
      <c r="G5" s="562" t="s">
        <v>18</v>
      </c>
      <c r="H5" s="564">
        <v>0.9583333333333334</v>
      </c>
      <c r="I5" s="564">
        <v>0.9791666666666666</v>
      </c>
      <c r="J5" s="562" t="s">
        <v>545</v>
      </c>
      <c r="K5" s="562" t="s">
        <v>152</v>
      </c>
      <c r="L5" s="565" t="s">
        <v>25</v>
      </c>
      <c r="M5" s="566" t="s">
        <v>26</v>
      </c>
      <c r="N5" s="567" t="s">
        <v>22</v>
      </c>
    </row>
    <row r="6" ht="37.5" customHeight="1">
      <c r="A6" s="222"/>
      <c r="B6" s="568" t="s">
        <v>27</v>
      </c>
      <c r="C6" s="569" t="b">
        <v>0</v>
      </c>
      <c r="D6" s="570">
        <v>1.0</v>
      </c>
      <c r="E6" s="570" t="s">
        <v>803</v>
      </c>
      <c r="F6" s="571">
        <v>45411.0</v>
      </c>
      <c r="G6" s="570" t="s">
        <v>18</v>
      </c>
      <c r="H6" s="572">
        <v>0.5208333333333334</v>
      </c>
      <c r="I6" s="572">
        <v>0.5416666666666666</v>
      </c>
      <c r="J6" s="570" t="s">
        <v>114</v>
      </c>
      <c r="K6" s="570" t="s">
        <v>112</v>
      </c>
      <c r="L6" s="573" t="s">
        <v>28</v>
      </c>
      <c r="M6" s="574" t="s">
        <v>546</v>
      </c>
      <c r="N6" s="575" t="s">
        <v>22</v>
      </c>
      <c r="O6" s="222" t="s">
        <v>817</v>
      </c>
    </row>
    <row r="7" ht="37.5" customHeight="1">
      <c r="A7" s="222"/>
      <c r="B7" s="576"/>
      <c r="C7" s="569" t="b">
        <v>1</v>
      </c>
      <c r="D7" s="577"/>
      <c r="E7" s="577"/>
      <c r="F7" s="577"/>
      <c r="G7" s="577"/>
      <c r="H7" s="577"/>
      <c r="I7" s="577"/>
      <c r="J7" s="577"/>
      <c r="K7" s="577"/>
      <c r="L7" s="577"/>
      <c r="M7" s="578" t="s">
        <v>547</v>
      </c>
      <c r="N7" s="575" t="s">
        <v>22</v>
      </c>
    </row>
    <row r="8" ht="75.0" customHeight="1">
      <c r="A8" s="222"/>
      <c r="B8" s="561" t="s">
        <v>30</v>
      </c>
      <c r="C8" s="562" t="b">
        <v>0</v>
      </c>
      <c r="D8" s="562">
        <v>2.0</v>
      </c>
      <c r="E8" s="562" t="s">
        <v>803</v>
      </c>
      <c r="F8" s="563">
        <v>45411.0</v>
      </c>
      <c r="G8" s="562" t="s">
        <v>18</v>
      </c>
      <c r="H8" s="564">
        <v>0.5</v>
      </c>
      <c r="I8" s="564">
        <v>0.5208333333333334</v>
      </c>
      <c r="J8" s="562" t="s">
        <v>94</v>
      </c>
      <c r="K8" s="562" t="s">
        <v>152</v>
      </c>
      <c r="L8" s="565" t="s">
        <v>550</v>
      </c>
      <c r="M8" s="579" t="s">
        <v>551</v>
      </c>
      <c r="N8" s="567" t="s">
        <v>22</v>
      </c>
      <c r="O8" s="222" t="s">
        <v>817</v>
      </c>
    </row>
    <row r="9" ht="104.25" customHeight="1">
      <c r="A9" s="222"/>
      <c r="B9" s="580" t="s">
        <v>34</v>
      </c>
      <c r="C9" s="569" t="b">
        <v>1</v>
      </c>
      <c r="D9" s="569">
        <v>2.0</v>
      </c>
      <c r="E9" s="569" t="s">
        <v>548</v>
      </c>
      <c r="F9" s="581">
        <v>45412.0</v>
      </c>
      <c r="G9" s="569" t="s">
        <v>18</v>
      </c>
      <c r="H9" s="582">
        <v>0.625</v>
      </c>
      <c r="I9" s="582">
        <v>0.6458333333333334</v>
      </c>
      <c r="J9" s="569" t="s">
        <v>545</v>
      </c>
      <c r="K9" s="569" t="s">
        <v>107</v>
      </c>
      <c r="L9" s="583" t="s">
        <v>553</v>
      </c>
      <c r="M9" s="584" t="s">
        <v>36</v>
      </c>
      <c r="N9" s="585" t="s">
        <v>22</v>
      </c>
    </row>
    <row r="10" ht="75.0" customHeight="1">
      <c r="A10" s="222"/>
      <c r="B10" s="561" t="s">
        <v>38</v>
      </c>
      <c r="C10" s="562" t="b">
        <v>1</v>
      </c>
      <c r="D10" s="562">
        <v>2.0</v>
      </c>
      <c r="E10" s="562" t="s">
        <v>818</v>
      </c>
      <c r="F10" s="563">
        <v>45418.0</v>
      </c>
      <c r="G10" s="562" t="s">
        <v>39</v>
      </c>
      <c r="H10" s="564">
        <v>0.5833333333333334</v>
      </c>
      <c r="I10" s="564">
        <v>0.625</v>
      </c>
      <c r="J10" s="562" t="s">
        <v>112</v>
      </c>
      <c r="K10" s="565" t="s">
        <v>819</v>
      </c>
      <c r="L10" s="565" t="s">
        <v>40</v>
      </c>
      <c r="M10" s="566" t="s">
        <v>41</v>
      </c>
      <c r="N10" s="586" t="s">
        <v>42</v>
      </c>
    </row>
    <row r="11" ht="75.0" customHeight="1">
      <c r="A11" s="222"/>
      <c r="B11" s="580" t="s">
        <v>43</v>
      </c>
      <c r="C11" s="569" t="b">
        <v>1</v>
      </c>
      <c r="D11" s="569">
        <v>2.0</v>
      </c>
      <c r="E11" s="569" t="s">
        <v>556</v>
      </c>
      <c r="F11" s="581">
        <v>45413.0</v>
      </c>
      <c r="G11" s="569" t="s">
        <v>18</v>
      </c>
      <c r="H11" s="582">
        <v>0.5</v>
      </c>
      <c r="I11" s="582">
        <v>0.5208333333333334</v>
      </c>
      <c r="J11" s="569" t="s">
        <v>118</v>
      </c>
      <c r="K11" s="587"/>
      <c r="L11" s="583" t="s">
        <v>44</v>
      </c>
      <c r="M11" s="584" t="s">
        <v>555</v>
      </c>
      <c r="N11" s="585" t="s">
        <v>22</v>
      </c>
    </row>
    <row r="12" ht="75.0" customHeight="1">
      <c r="A12" s="222"/>
      <c r="B12" s="561" t="s">
        <v>46</v>
      </c>
      <c r="C12" s="562" t="b">
        <v>1</v>
      </c>
      <c r="D12" s="562">
        <v>2.0</v>
      </c>
      <c r="E12" s="562" t="s">
        <v>556</v>
      </c>
      <c r="F12" s="563">
        <v>45413.0</v>
      </c>
      <c r="G12" s="562" t="s">
        <v>18</v>
      </c>
      <c r="H12" s="564">
        <v>0.5208333333333334</v>
      </c>
      <c r="I12" s="564">
        <v>0.5416666666666666</v>
      </c>
      <c r="J12" s="562" t="s">
        <v>119</v>
      </c>
      <c r="K12" s="588"/>
      <c r="L12" s="565" t="s">
        <v>47</v>
      </c>
      <c r="M12" s="562" t="s">
        <v>22</v>
      </c>
      <c r="N12" s="567" t="s">
        <v>22</v>
      </c>
    </row>
    <row r="13" ht="75.0" customHeight="1">
      <c r="A13" s="222"/>
      <c r="B13" s="580" t="s">
        <v>820</v>
      </c>
      <c r="C13" s="569" t="b">
        <v>0</v>
      </c>
      <c r="D13" s="569">
        <v>3.0</v>
      </c>
      <c r="E13" s="569" t="s">
        <v>548</v>
      </c>
      <c r="F13" s="581">
        <v>45419.0</v>
      </c>
      <c r="G13" s="569" t="s">
        <v>39</v>
      </c>
      <c r="H13" s="582">
        <v>0.5</v>
      </c>
      <c r="I13" s="582">
        <v>0.5416666666666666</v>
      </c>
      <c r="J13" s="569" t="s">
        <v>112</v>
      </c>
      <c r="K13" s="583" t="s">
        <v>821</v>
      </c>
      <c r="L13" s="583" t="s">
        <v>49</v>
      </c>
      <c r="M13" s="569" t="s">
        <v>22</v>
      </c>
      <c r="N13" s="585" t="s">
        <v>22</v>
      </c>
    </row>
    <row r="14" ht="75.0" customHeight="1">
      <c r="A14" s="222"/>
      <c r="B14" s="561" t="s">
        <v>51</v>
      </c>
      <c r="C14" s="562" t="b">
        <v>1</v>
      </c>
      <c r="D14" s="562">
        <v>3.0</v>
      </c>
      <c r="E14" s="562" t="s">
        <v>556</v>
      </c>
      <c r="F14" s="563">
        <v>45434.0</v>
      </c>
      <c r="G14" s="562" t="s">
        <v>18</v>
      </c>
      <c r="H14" s="564">
        <v>0.6666666666666666</v>
      </c>
      <c r="I14" s="564">
        <v>0.6875</v>
      </c>
      <c r="J14" s="562" t="s">
        <v>126</v>
      </c>
      <c r="K14" s="562" t="s">
        <v>117</v>
      </c>
      <c r="L14" s="565" t="s">
        <v>52</v>
      </c>
      <c r="M14" s="589" t="s">
        <v>678</v>
      </c>
      <c r="N14" s="586" t="s">
        <v>42</v>
      </c>
    </row>
    <row r="15" ht="37.5" customHeight="1">
      <c r="A15" s="222"/>
      <c r="B15" s="568" t="s">
        <v>54</v>
      </c>
      <c r="C15" s="569" t="b">
        <v>1</v>
      </c>
      <c r="D15" s="570">
        <v>3.0</v>
      </c>
      <c r="E15" s="570" t="s">
        <v>556</v>
      </c>
      <c r="F15" s="571">
        <v>45420.0</v>
      </c>
      <c r="G15" s="570" t="s">
        <v>18</v>
      </c>
      <c r="H15" s="572">
        <v>0.5833333333333334</v>
      </c>
      <c r="I15" s="572">
        <v>0.6041666666666666</v>
      </c>
      <c r="J15" s="570" t="s">
        <v>107</v>
      </c>
      <c r="K15" s="570" t="s">
        <v>822</v>
      </c>
      <c r="L15" s="573" t="s">
        <v>55</v>
      </c>
      <c r="M15" s="590" t="s">
        <v>560</v>
      </c>
      <c r="N15" s="591" t="s">
        <v>57</v>
      </c>
    </row>
    <row r="16" ht="37.5" customHeight="1">
      <c r="A16" s="222"/>
      <c r="B16" s="576"/>
      <c r="C16" s="569" t="b">
        <v>1</v>
      </c>
      <c r="D16" s="577"/>
      <c r="E16" s="577"/>
      <c r="F16" s="577"/>
      <c r="G16" s="577"/>
      <c r="H16" s="577"/>
      <c r="I16" s="577"/>
      <c r="J16" s="577"/>
      <c r="K16" s="577"/>
      <c r="L16" s="577"/>
      <c r="M16" s="592" t="s">
        <v>561</v>
      </c>
      <c r="N16" s="593"/>
    </row>
    <row r="17" ht="75.0" customHeight="1">
      <c r="A17" s="222"/>
      <c r="B17" s="561" t="s">
        <v>823</v>
      </c>
      <c r="C17" s="562" t="b">
        <v>0</v>
      </c>
      <c r="D17" s="562">
        <v>3.0</v>
      </c>
      <c r="E17" s="562" t="s">
        <v>557</v>
      </c>
      <c r="F17" s="563">
        <v>45421.0</v>
      </c>
      <c r="G17" s="562" t="s">
        <v>18</v>
      </c>
      <c r="H17" s="564">
        <v>0.5</v>
      </c>
      <c r="I17" s="564">
        <v>0.5208333333333334</v>
      </c>
      <c r="J17" s="562" t="s">
        <v>114</v>
      </c>
      <c r="K17" s="562" t="s">
        <v>94</v>
      </c>
      <c r="L17" s="565" t="s">
        <v>59</v>
      </c>
      <c r="M17" s="594" t="s">
        <v>22</v>
      </c>
      <c r="N17" s="567" t="s">
        <v>22</v>
      </c>
    </row>
    <row r="18" ht="37.5" customHeight="1">
      <c r="A18" s="222"/>
      <c r="B18" s="568" t="s">
        <v>60</v>
      </c>
      <c r="C18" s="570" t="b">
        <v>1</v>
      </c>
      <c r="D18" s="570">
        <v>4.0</v>
      </c>
      <c r="E18" s="570" t="s">
        <v>803</v>
      </c>
      <c r="F18" s="571">
        <v>45441.0</v>
      </c>
      <c r="G18" s="570" t="s">
        <v>18</v>
      </c>
      <c r="H18" s="572">
        <v>0.5416666666666666</v>
      </c>
      <c r="I18" s="572">
        <v>0.5625</v>
      </c>
      <c r="J18" s="570" t="s">
        <v>126</v>
      </c>
      <c r="K18" s="570" t="s">
        <v>639</v>
      </c>
      <c r="L18" s="573" t="s">
        <v>61</v>
      </c>
      <c r="M18" s="595" t="s">
        <v>563</v>
      </c>
      <c r="N18" s="591" t="s">
        <v>22</v>
      </c>
    </row>
    <row r="19" ht="37.5" customHeight="1">
      <c r="A19" s="222"/>
      <c r="B19" s="576"/>
      <c r="C19" s="577"/>
      <c r="D19" s="577"/>
      <c r="E19" s="577"/>
      <c r="F19" s="577"/>
      <c r="G19" s="577"/>
      <c r="H19" s="577"/>
      <c r="I19" s="577"/>
      <c r="J19" s="577"/>
      <c r="K19" s="577"/>
      <c r="L19" s="577"/>
      <c r="M19" s="592" t="s">
        <v>564</v>
      </c>
      <c r="N19" s="593"/>
    </row>
    <row r="20" ht="75.0" customHeight="1">
      <c r="A20" s="222"/>
      <c r="B20" s="561" t="s">
        <v>63</v>
      </c>
      <c r="C20" s="562" t="b">
        <v>1</v>
      </c>
      <c r="D20" s="562">
        <v>4.0</v>
      </c>
      <c r="E20" s="562" t="s">
        <v>548</v>
      </c>
      <c r="F20" s="563">
        <v>45426.0</v>
      </c>
      <c r="G20" s="562" t="s">
        <v>18</v>
      </c>
      <c r="H20" s="564">
        <v>0.625</v>
      </c>
      <c r="I20" s="564">
        <v>0.6458333333333334</v>
      </c>
      <c r="J20" s="562" t="s">
        <v>562</v>
      </c>
      <c r="K20" s="562" t="s">
        <v>126</v>
      </c>
      <c r="L20" s="565" t="s">
        <v>64</v>
      </c>
      <c r="M20" s="566" t="s">
        <v>824</v>
      </c>
      <c r="N20" s="222" t="s">
        <v>22</v>
      </c>
    </row>
    <row r="21" ht="75.0" customHeight="1">
      <c r="A21" s="222"/>
      <c r="B21" s="580" t="s">
        <v>67</v>
      </c>
      <c r="C21" s="569" t="b">
        <v>1</v>
      </c>
      <c r="D21" s="569">
        <v>4.0</v>
      </c>
      <c r="E21" s="569" t="s">
        <v>548</v>
      </c>
      <c r="F21" s="581">
        <v>45426.0</v>
      </c>
      <c r="G21" s="569" t="s">
        <v>68</v>
      </c>
      <c r="H21" s="582">
        <v>0.6458333333333334</v>
      </c>
      <c r="I21" s="582">
        <v>0.6770833333333334</v>
      </c>
      <c r="J21" s="569" t="s">
        <v>562</v>
      </c>
      <c r="K21" s="569" t="s">
        <v>126</v>
      </c>
      <c r="L21" s="583" t="s">
        <v>69</v>
      </c>
      <c r="M21" s="596"/>
      <c r="N21" s="597" t="s">
        <v>42</v>
      </c>
    </row>
    <row r="22" ht="75.0" customHeight="1">
      <c r="A22" s="222"/>
      <c r="B22" s="561" t="s">
        <v>71</v>
      </c>
      <c r="C22" s="562" t="b">
        <v>1</v>
      </c>
      <c r="D22" s="562">
        <v>4.0</v>
      </c>
      <c r="E22" s="562" t="s">
        <v>556</v>
      </c>
      <c r="F22" s="563">
        <v>45427.0</v>
      </c>
      <c r="G22" s="562" t="s">
        <v>18</v>
      </c>
      <c r="H22" s="564">
        <v>0.5</v>
      </c>
      <c r="I22" s="564">
        <v>0.5208333333333334</v>
      </c>
      <c r="J22" s="562" t="s">
        <v>545</v>
      </c>
      <c r="K22" s="562" t="s">
        <v>107</v>
      </c>
      <c r="L22" s="565" t="s">
        <v>72</v>
      </c>
      <c r="M22" s="566" t="s">
        <v>825</v>
      </c>
      <c r="N22" s="598" t="s">
        <v>22</v>
      </c>
    </row>
    <row r="23" ht="75.0" customHeight="1">
      <c r="A23" s="222"/>
      <c r="B23" s="580" t="s">
        <v>74</v>
      </c>
      <c r="C23" s="569" t="b">
        <v>1</v>
      </c>
      <c r="D23" s="569">
        <v>4.0</v>
      </c>
      <c r="E23" s="569" t="s">
        <v>557</v>
      </c>
      <c r="F23" s="581">
        <v>45441.0</v>
      </c>
      <c r="G23" s="569" t="s">
        <v>39</v>
      </c>
      <c r="H23" s="582">
        <v>0.625</v>
      </c>
      <c r="I23" s="582">
        <v>0.6458333333333334</v>
      </c>
      <c r="J23" s="569" t="s">
        <v>126</v>
      </c>
      <c r="K23" s="569" t="s">
        <v>117</v>
      </c>
      <c r="L23" s="569" t="s">
        <v>75</v>
      </c>
      <c r="M23" s="596" t="s">
        <v>22</v>
      </c>
      <c r="N23" s="599" t="s">
        <v>22</v>
      </c>
    </row>
    <row r="24" ht="75.0" customHeight="1">
      <c r="A24" s="222"/>
      <c r="B24" s="561" t="s">
        <v>76</v>
      </c>
      <c r="C24" s="562" t="b">
        <v>0</v>
      </c>
      <c r="D24" s="562">
        <v>5.0</v>
      </c>
      <c r="E24" s="562" t="s">
        <v>803</v>
      </c>
      <c r="F24" s="563">
        <v>45432.0</v>
      </c>
      <c r="G24" s="562" t="s">
        <v>18</v>
      </c>
      <c r="H24" s="564">
        <v>0.5</v>
      </c>
      <c r="I24" s="564">
        <v>0.5208333333333334</v>
      </c>
      <c r="J24" s="562" t="s">
        <v>110</v>
      </c>
      <c r="K24" s="562" t="s">
        <v>826</v>
      </c>
      <c r="L24" s="600" t="s">
        <v>827</v>
      </c>
      <c r="M24" s="566" t="s">
        <v>78</v>
      </c>
      <c r="N24" s="598" t="s">
        <v>22</v>
      </c>
    </row>
    <row r="25" ht="75.0" customHeight="1">
      <c r="A25" s="222"/>
      <c r="B25" s="580" t="s">
        <v>79</v>
      </c>
      <c r="C25" s="569" t="b">
        <v>0</v>
      </c>
      <c r="D25" s="569">
        <v>5.0</v>
      </c>
      <c r="E25" s="569" t="s">
        <v>548</v>
      </c>
      <c r="F25" s="581">
        <v>45433.0</v>
      </c>
      <c r="G25" s="569" t="s">
        <v>39</v>
      </c>
      <c r="H25" s="582">
        <v>0.5</v>
      </c>
      <c r="I25" s="582">
        <v>0.5416666666666666</v>
      </c>
      <c r="J25" s="569" t="s">
        <v>110</v>
      </c>
      <c r="K25" s="569" t="s">
        <v>107</v>
      </c>
      <c r="L25" s="583" t="s">
        <v>80</v>
      </c>
      <c r="M25" s="584" t="s">
        <v>81</v>
      </c>
      <c r="N25" s="597" t="s">
        <v>570</v>
      </c>
    </row>
    <row r="26" ht="37.5" customHeight="1">
      <c r="A26" s="222"/>
      <c r="B26" s="601" t="s">
        <v>571</v>
      </c>
      <c r="C26" s="562" t="b">
        <v>1</v>
      </c>
      <c r="D26" s="602">
        <v>5.0</v>
      </c>
      <c r="E26" s="602" t="s">
        <v>556</v>
      </c>
      <c r="F26" s="603">
        <v>45434.0</v>
      </c>
      <c r="G26" s="602" t="s">
        <v>39</v>
      </c>
      <c r="H26" s="604">
        <v>0.5833333333333334</v>
      </c>
      <c r="I26" s="604">
        <v>0.625</v>
      </c>
      <c r="J26" s="602" t="s">
        <v>107</v>
      </c>
      <c r="K26" s="602" t="s">
        <v>114</v>
      </c>
      <c r="L26" s="605" t="s">
        <v>84</v>
      </c>
      <c r="M26" s="589" t="s">
        <v>85</v>
      </c>
      <c r="N26" s="586" t="s">
        <v>572</v>
      </c>
    </row>
    <row r="27" ht="37.5" customHeight="1">
      <c r="B27" s="576"/>
      <c r="C27" s="562" t="b">
        <v>1</v>
      </c>
      <c r="D27" s="577"/>
      <c r="E27" s="577"/>
      <c r="F27" s="577"/>
      <c r="G27" s="577"/>
      <c r="H27" s="577"/>
      <c r="I27" s="577"/>
      <c r="J27" s="577"/>
      <c r="K27" s="577"/>
      <c r="L27" s="577"/>
      <c r="M27" s="577"/>
      <c r="N27" s="586" t="s">
        <v>573</v>
      </c>
    </row>
    <row r="28" ht="75.0" customHeight="1">
      <c r="A28" s="222"/>
      <c r="B28" s="580" t="s">
        <v>87</v>
      </c>
      <c r="C28" s="569" t="b">
        <v>1</v>
      </c>
      <c r="D28" s="569">
        <v>6.0</v>
      </c>
      <c r="E28" s="569" t="s">
        <v>556</v>
      </c>
      <c r="F28" s="581">
        <v>45441.0</v>
      </c>
      <c r="G28" s="569" t="s">
        <v>39</v>
      </c>
      <c r="H28" s="582">
        <v>0.625</v>
      </c>
      <c r="I28" s="582">
        <v>0.6666666666666666</v>
      </c>
      <c r="J28" s="569" t="s">
        <v>828</v>
      </c>
      <c r="K28" s="569" t="s">
        <v>152</v>
      </c>
      <c r="L28" s="583" t="s">
        <v>88</v>
      </c>
      <c r="M28" s="584" t="s">
        <v>89</v>
      </c>
      <c r="N28" s="597" t="s">
        <v>42</v>
      </c>
    </row>
    <row r="29" ht="75.0" customHeight="1">
      <c r="A29" s="222"/>
      <c r="B29" s="561" t="s">
        <v>90</v>
      </c>
      <c r="C29" s="562" t="b">
        <v>1</v>
      </c>
      <c r="D29" s="562">
        <v>5.0</v>
      </c>
      <c r="E29" s="562" t="s">
        <v>557</v>
      </c>
      <c r="F29" s="563">
        <v>45435.0</v>
      </c>
      <c r="G29" s="562" t="s">
        <v>18</v>
      </c>
      <c r="H29" s="606">
        <v>0.5833333333333334</v>
      </c>
      <c r="I29" s="564">
        <v>0.6041666666666666</v>
      </c>
      <c r="J29" s="562" t="s">
        <v>562</v>
      </c>
      <c r="K29" s="562" t="s">
        <v>126</v>
      </c>
      <c r="L29" s="565" t="s">
        <v>91</v>
      </c>
      <c r="M29" s="567" t="s">
        <v>22</v>
      </c>
      <c r="N29" s="567" t="s">
        <v>22</v>
      </c>
    </row>
    <row r="30" ht="75.0" customHeight="1">
      <c r="A30" s="222"/>
      <c r="B30" s="580" t="s">
        <v>99</v>
      </c>
      <c r="C30" s="569" t="b">
        <v>0</v>
      </c>
      <c r="D30" s="569">
        <v>6.0</v>
      </c>
      <c r="E30" s="569" t="s">
        <v>556</v>
      </c>
      <c r="F30" s="581">
        <v>45441.0</v>
      </c>
      <c r="G30" s="569" t="s">
        <v>18</v>
      </c>
      <c r="H30" s="582">
        <v>0.5</v>
      </c>
      <c r="I30" s="582">
        <v>0.5208333333333334</v>
      </c>
      <c r="J30" s="569" t="s">
        <v>114</v>
      </c>
      <c r="K30" s="587"/>
      <c r="L30" s="569" t="s">
        <v>100</v>
      </c>
      <c r="M30" s="585" t="s">
        <v>22</v>
      </c>
      <c r="N30" s="585" t="s">
        <v>22</v>
      </c>
    </row>
    <row r="31" ht="75.0" customHeight="1">
      <c r="B31" s="561" t="s">
        <v>101</v>
      </c>
      <c r="C31" s="562" t="b">
        <v>1</v>
      </c>
      <c r="D31" s="562">
        <v>6.0</v>
      </c>
      <c r="E31" s="222" t="s">
        <v>548</v>
      </c>
      <c r="F31" s="607">
        <v>45440.0</v>
      </c>
      <c r="G31" s="562" t="s">
        <v>39</v>
      </c>
      <c r="H31" s="564">
        <v>0.5416666666666666</v>
      </c>
      <c r="I31" s="564">
        <v>0.5833333333333334</v>
      </c>
      <c r="J31" s="562" t="s">
        <v>545</v>
      </c>
      <c r="K31" s="562" t="s">
        <v>112</v>
      </c>
      <c r="L31" s="567" t="s">
        <v>22</v>
      </c>
      <c r="M31" s="567" t="s">
        <v>829</v>
      </c>
    </row>
    <row r="32" ht="75.0" customHeight="1">
      <c r="B32" s="580" t="s">
        <v>102</v>
      </c>
      <c r="C32" s="569" t="b">
        <v>0</v>
      </c>
      <c r="D32" s="569" t="s">
        <v>103</v>
      </c>
      <c r="E32" s="569" t="s">
        <v>548</v>
      </c>
      <c r="F32" s="581">
        <v>45468.0</v>
      </c>
      <c r="G32" s="569" t="s">
        <v>18</v>
      </c>
      <c r="H32" s="608">
        <v>0.5</v>
      </c>
      <c r="I32" s="582">
        <v>0.5208333333333334</v>
      </c>
      <c r="J32" s="569" t="s">
        <v>114</v>
      </c>
      <c r="K32" s="569"/>
      <c r="L32" s="585" t="s">
        <v>22</v>
      </c>
      <c r="M32" s="585" t="s">
        <v>22</v>
      </c>
      <c r="N32" s="585" t="s">
        <v>22</v>
      </c>
    </row>
    <row r="33" ht="75.0" customHeight="1">
      <c r="B33" s="609" t="s">
        <v>104</v>
      </c>
      <c r="C33" s="222" t="b">
        <v>0</v>
      </c>
      <c r="D33" s="222" t="s">
        <v>103</v>
      </c>
      <c r="E33" s="222" t="s">
        <v>557</v>
      </c>
      <c r="F33" s="332">
        <v>45470.0</v>
      </c>
      <c r="G33" s="222" t="s">
        <v>18</v>
      </c>
      <c r="H33" s="610">
        <v>0.5</v>
      </c>
      <c r="I33" s="409">
        <v>0.5208333333333334</v>
      </c>
      <c r="J33" s="562" t="s">
        <v>830</v>
      </c>
      <c r="K33" s="562"/>
      <c r="L33" s="567" t="s">
        <v>22</v>
      </c>
      <c r="M33" s="567" t="s">
        <v>22</v>
      </c>
    </row>
    <row r="34" ht="75.0" customHeight="1">
      <c r="B34" s="580" t="s">
        <v>105</v>
      </c>
      <c r="C34" s="569" t="b">
        <v>0</v>
      </c>
      <c r="D34" s="569" t="s">
        <v>103</v>
      </c>
      <c r="E34" s="569" t="s">
        <v>803</v>
      </c>
      <c r="F34" s="581">
        <v>45495.0</v>
      </c>
      <c r="G34" s="569" t="s">
        <v>18</v>
      </c>
      <c r="H34" s="608">
        <v>0.5</v>
      </c>
      <c r="I34" s="582">
        <v>0.5208333333333334</v>
      </c>
      <c r="J34" s="569" t="s">
        <v>114</v>
      </c>
      <c r="K34" s="569"/>
      <c r="L34" s="585" t="s">
        <v>22</v>
      </c>
      <c r="M34" s="585" t="s">
        <v>22</v>
      </c>
      <c r="N34" s="585" t="s">
        <v>22</v>
      </c>
    </row>
    <row r="35">
      <c r="G35" s="409"/>
      <c r="H35" s="409"/>
      <c r="I35" s="409"/>
      <c r="L35" s="410"/>
    </row>
    <row r="36">
      <c r="G36" s="409"/>
      <c r="H36" s="409"/>
      <c r="I36" s="409"/>
      <c r="L36" s="410"/>
    </row>
    <row r="37">
      <c r="G37" s="409"/>
      <c r="H37" s="409"/>
      <c r="I37" s="409"/>
      <c r="L37" s="410"/>
    </row>
    <row r="38">
      <c r="G38" s="409"/>
      <c r="H38" s="409"/>
      <c r="I38" s="409"/>
      <c r="L38" s="410"/>
    </row>
    <row r="39">
      <c r="G39" s="409"/>
      <c r="H39" s="409"/>
      <c r="I39" s="409"/>
      <c r="L39" s="410"/>
    </row>
    <row r="40">
      <c r="G40" s="409"/>
      <c r="H40" s="409"/>
      <c r="I40" s="409"/>
      <c r="L40" s="410"/>
    </row>
    <row r="41">
      <c r="G41" s="409"/>
      <c r="H41" s="409"/>
      <c r="I41" s="409"/>
      <c r="L41" s="410"/>
    </row>
    <row r="42">
      <c r="G42" s="409"/>
      <c r="H42" s="409"/>
      <c r="I42" s="409"/>
      <c r="L42" s="410"/>
    </row>
    <row r="43">
      <c r="G43" s="409"/>
      <c r="H43" s="409"/>
      <c r="I43" s="409"/>
      <c r="L43" s="410"/>
    </row>
    <row r="44">
      <c r="G44" s="409"/>
      <c r="H44" s="409"/>
      <c r="I44" s="409"/>
      <c r="L44" s="410"/>
    </row>
    <row r="45">
      <c r="G45" s="409"/>
      <c r="H45" s="409"/>
      <c r="I45" s="409"/>
      <c r="L45" s="410"/>
    </row>
    <row r="46">
      <c r="G46" s="409"/>
      <c r="H46" s="409"/>
      <c r="I46" s="409"/>
      <c r="L46" s="410"/>
    </row>
    <row r="47">
      <c r="G47" s="409"/>
      <c r="H47" s="409"/>
      <c r="I47" s="409"/>
      <c r="L47" s="410"/>
    </row>
    <row r="48">
      <c r="G48" s="409"/>
      <c r="H48" s="409"/>
      <c r="I48" s="409"/>
      <c r="L48" s="410"/>
    </row>
    <row r="49">
      <c r="G49" s="409"/>
      <c r="H49" s="409"/>
      <c r="I49" s="409"/>
      <c r="L49" s="410"/>
    </row>
    <row r="50">
      <c r="G50" s="409"/>
      <c r="H50" s="409"/>
      <c r="I50" s="409"/>
      <c r="L50" s="410"/>
    </row>
    <row r="51">
      <c r="G51" s="411"/>
      <c r="H51" s="411"/>
      <c r="I51" s="411"/>
      <c r="L51" s="410"/>
    </row>
    <row r="52">
      <c r="L52" s="410"/>
    </row>
    <row r="53">
      <c r="L53" s="410"/>
    </row>
    <row r="54">
      <c r="L54" s="410"/>
    </row>
    <row r="55">
      <c r="L55" s="410"/>
    </row>
    <row r="56">
      <c r="L56" s="410"/>
    </row>
    <row r="57">
      <c r="L57" s="410"/>
    </row>
    <row r="58">
      <c r="L58" s="410"/>
    </row>
    <row r="59">
      <c r="L59" s="410"/>
    </row>
    <row r="60">
      <c r="L60" s="410"/>
    </row>
    <row r="61">
      <c r="L61" s="410"/>
    </row>
    <row r="62">
      <c r="L62" s="410"/>
    </row>
    <row r="63">
      <c r="L63" s="410"/>
    </row>
    <row r="64">
      <c r="L64" s="410"/>
    </row>
    <row r="65">
      <c r="L65" s="410"/>
    </row>
    <row r="66">
      <c r="L66" s="410"/>
    </row>
    <row r="67">
      <c r="L67" s="410"/>
    </row>
    <row r="68">
      <c r="L68" s="410"/>
    </row>
    <row r="69">
      <c r="L69" s="410"/>
    </row>
    <row r="70">
      <c r="L70" s="410"/>
    </row>
    <row r="71">
      <c r="L71" s="410"/>
    </row>
    <row r="72">
      <c r="L72" s="410"/>
    </row>
    <row r="73">
      <c r="L73" s="410"/>
    </row>
    <row r="74">
      <c r="L74" s="410"/>
    </row>
    <row r="75">
      <c r="L75" s="410"/>
    </row>
    <row r="76">
      <c r="L76" s="410"/>
    </row>
    <row r="77">
      <c r="L77" s="410"/>
    </row>
    <row r="78">
      <c r="L78" s="410"/>
    </row>
    <row r="79">
      <c r="L79" s="410"/>
    </row>
    <row r="80">
      <c r="L80" s="410"/>
    </row>
    <row r="81">
      <c r="L81" s="410"/>
    </row>
    <row r="82">
      <c r="L82" s="410"/>
    </row>
    <row r="83">
      <c r="L83" s="410"/>
    </row>
    <row r="84">
      <c r="L84" s="410"/>
    </row>
    <row r="85">
      <c r="L85" s="410"/>
    </row>
    <row r="86">
      <c r="L86" s="410"/>
    </row>
    <row r="87">
      <c r="L87" s="410"/>
    </row>
    <row r="88">
      <c r="L88" s="410"/>
    </row>
    <row r="89">
      <c r="L89" s="410"/>
    </row>
    <row r="90">
      <c r="L90" s="410"/>
    </row>
    <row r="91">
      <c r="L91" s="410"/>
    </row>
    <row r="92">
      <c r="L92" s="410"/>
    </row>
    <row r="93">
      <c r="L93" s="410"/>
    </row>
    <row r="94">
      <c r="L94" s="410"/>
    </row>
    <row r="95">
      <c r="L95" s="410"/>
    </row>
    <row r="96">
      <c r="L96" s="410"/>
    </row>
    <row r="97">
      <c r="L97" s="410"/>
    </row>
    <row r="98">
      <c r="L98" s="410"/>
    </row>
    <row r="99">
      <c r="L99" s="410"/>
    </row>
    <row r="100">
      <c r="L100" s="410"/>
    </row>
    <row r="101">
      <c r="L101" s="410"/>
    </row>
    <row r="102">
      <c r="L102" s="410"/>
    </row>
    <row r="103">
      <c r="L103" s="410"/>
    </row>
    <row r="104">
      <c r="L104" s="410"/>
    </row>
    <row r="105">
      <c r="L105" s="410"/>
    </row>
    <row r="106">
      <c r="L106" s="410"/>
    </row>
    <row r="107">
      <c r="L107" s="410"/>
    </row>
    <row r="108">
      <c r="L108" s="410"/>
    </row>
    <row r="109">
      <c r="L109" s="410"/>
    </row>
    <row r="110">
      <c r="L110" s="410"/>
    </row>
    <row r="111">
      <c r="L111" s="410"/>
    </row>
    <row r="112">
      <c r="L112" s="410"/>
    </row>
    <row r="113">
      <c r="L113" s="410"/>
    </row>
    <row r="114">
      <c r="L114" s="410"/>
    </row>
    <row r="115">
      <c r="L115" s="410"/>
    </row>
    <row r="116">
      <c r="L116" s="410"/>
    </row>
    <row r="117">
      <c r="L117" s="410"/>
    </row>
    <row r="118">
      <c r="L118" s="410"/>
    </row>
    <row r="119">
      <c r="L119" s="410"/>
    </row>
    <row r="120">
      <c r="L120" s="410"/>
    </row>
    <row r="121">
      <c r="L121" s="410"/>
    </row>
    <row r="122">
      <c r="L122" s="410"/>
    </row>
    <row r="123">
      <c r="L123" s="410"/>
    </row>
    <row r="124">
      <c r="L124" s="410"/>
    </row>
    <row r="125">
      <c r="L125" s="410"/>
    </row>
    <row r="126">
      <c r="L126" s="410"/>
    </row>
    <row r="127">
      <c r="L127" s="410"/>
    </row>
    <row r="128">
      <c r="L128" s="410"/>
    </row>
    <row r="129">
      <c r="L129" s="410"/>
    </row>
    <row r="130">
      <c r="L130" s="410"/>
    </row>
    <row r="131">
      <c r="L131" s="410"/>
    </row>
    <row r="132">
      <c r="L132" s="410"/>
    </row>
    <row r="133">
      <c r="L133" s="410"/>
    </row>
    <row r="134">
      <c r="L134" s="410"/>
    </row>
    <row r="135">
      <c r="L135" s="410"/>
    </row>
    <row r="136">
      <c r="L136" s="410"/>
    </row>
    <row r="137">
      <c r="L137" s="410"/>
    </row>
    <row r="138">
      <c r="L138" s="410"/>
    </row>
    <row r="139">
      <c r="L139" s="410"/>
    </row>
    <row r="140">
      <c r="L140" s="410"/>
    </row>
    <row r="141">
      <c r="L141" s="410"/>
    </row>
    <row r="142">
      <c r="L142" s="410"/>
    </row>
    <row r="143">
      <c r="L143" s="410"/>
    </row>
    <row r="144">
      <c r="L144" s="410"/>
    </row>
    <row r="145">
      <c r="L145" s="410"/>
    </row>
    <row r="146">
      <c r="L146" s="410"/>
    </row>
    <row r="147">
      <c r="L147" s="410"/>
    </row>
    <row r="148">
      <c r="L148" s="410"/>
    </row>
    <row r="149">
      <c r="L149" s="410"/>
    </row>
    <row r="150">
      <c r="L150" s="410"/>
    </row>
    <row r="151">
      <c r="L151" s="410"/>
    </row>
    <row r="152">
      <c r="L152" s="410"/>
    </row>
    <row r="153">
      <c r="L153" s="410"/>
    </row>
    <row r="154">
      <c r="L154" s="410"/>
    </row>
    <row r="155">
      <c r="L155" s="410"/>
    </row>
    <row r="156">
      <c r="L156" s="410"/>
    </row>
    <row r="157">
      <c r="L157" s="410"/>
    </row>
    <row r="158">
      <c r="L158" s="410"/>
    </row>
    <row r="159">
      <c r="L159" s="410"/>
    </row>
    <row r="160">
      <c r="L160" s="410"/>
    </row>
    <row r="161">
      <c r="L161" s="410"/>
    </row>
    <row r="162">
      <c r="L162" s="410"/>
    </row>
    <row r="163">
      <c r="L163" s="410"/>
    </row>
    <row r="164">
      <c r="L164" s="410"/>
    </row>
    <row r="165">
      <c r="L165" s="410"/>
    </row>
    <row r="166">
      <c r="L166" s="410"/>
    </row>
    <row r="167">
      <c r="L167" s="410"/>
    </row>
    <row r="168">
      <c r="L168" s="410"/>
    </row>
    <row r="169">
      <c r="L169" s="410"/>
    </row>
    <row r="170">
      <c r="L170" s="410"/>
    </row>
    <row r="171">
      <c r="L171" s="410"/>
    </row>
    <row r="172">
      <c r="L172" s="410"/>
    </row>
    <row r="173">
      <c r="L173" s="410"/>
    </row>
    <row r="174">
      <c r="L174" s="410"/>
    </row>
    <row r="175">
      <c r="L175" s="410"/>
    </row>
    <row r="176">
      <c r="L176" s="410"/>
    </row>
    <row r="177">
      <c r="L177" s="410"/>
    </row>
    <row r="178">
      <c r="L178" s="410"/>
    </row>
    <row r="179">
      <c r="L179" s="410"/>
    </row>
    <row r="180">
      <c r="L180" s="410"/>
    </row>
    <row r="181">
      <c r="L181" s="410"/>
    </row>
    <row r="182">
      <c r="L182" s="410"/>
    </row>
    <row r="183">
      <c r="L183" s="410"/>
    </row>
    <row r="184">
      <c r="L184" s="410"/>
    </row>
    <row r="185">
      <c r="L185" s="410"/>
    </row>
    <row r="186">
      <c r="L186" s="410"/>
    </row>
    <row r="187">
      <c r="L187" s="410"/>
    </row>
    <row r="188">
      <c r="L188" s="410"/>
    </row>
    <row r="189">
      <c r="L189" s="410"/>
    </row>
    <row r="190">
      <c r="L190" s="410"/>
    </row>
    <row r="191">
      <c r="L191" s="410"/>
    </row>
    <row r="192">
      <c r="L192" s="410"/>
    </row>
    <row r="193">
      <c r="L193" s="410"/>
    </row>
    <row r="194">
      <c r="L194" s="410"/>
    </row>
    <row r="195">
      <c r="L195" s="410"/>
    </row>
    <row r="196">
      <c r="L196" s="410"/>
    </row>
    <row r="197">
      <c r="L197" s="410"/>
    </row>
    <row r="198">
      <c r="L198" s="410"/>
    </row>
    <row r="199">
      <c r="L199" s="410"/>
    </row>
    <row r="200">
      <c r="L200" s="410"/>
    </row>
    <row r="201">
      <c r="L201" s="410"/>
    </row>
    <row r="202">
      <c r="L202" s="410"/>
    </row>
    <row r="203">
      <c r="L203" s="410"/>
    </row>
    <row r="204">
      <c r="L204" s="410"/>
    </row>
    <row r="205">
      <c r="L205" s="410"/>
    </row>
    <row r="206">
      <c r="L206" s="410"/>
    </row>
    <row r="207">
      <c r="L207" s="410"/>
    </row>
    <row r="208">
      <c r="L208" s="410"/>
    </row>
    <row r="209">
      <c r="L209" s="410"/>
    </row>
    <row r="210">
      <c r="L210" s="410"/>
    </row>
    <row r="211">
      <c r="L211" s="410"/>
    </row>
    <row r="212">
      <c r="L212" s="410"/>
    </row>
    <row r="213">
      <c r="L213" s="410"/>
    </row>
    <row r="214">
      <c r="L214" s="410"/>
    </row>
    <row r="215">
      <c r="L215" s="410"/>
    </row>
    <row r="216">
      <c r="L216" s="410"/>
    </row>
    <row r="217">
      <c r="L217" s="410"/>
    </row>
    <row r="218">
      <c r="L218" s="410"/>
    </row>
    <row r="219">
      <c r="L219" s="410"/>
    </row>
    <row r="220">
      <c r="L220" s="410"/>
    </row>
    <row r="221">
      <c r="L221" s="410"/>
    </row>
    <row r="222">
      <c r="L222" s="410"/>
    </row>
    <row r="223">
      <c r="L223" s="410"/>
    </row>
    <row r="224">
      <c r="L224" s="410"/>
    </row>
    <row r="225">
      <c r="L225" s="410"/>
    </row>
    <row r="226">
      <c r="L226" s="410"/>
    </row>
    <row r="227">
      <c r="L227" s="410"/>
    </row>
    <row r="228">
      <c r="L228" s="410"/>
    </row>
    <row r="229">
      <c r="L229" s="410"/>
    </row>
    <row r="230">
      <c r="L230" s="410"/>
    </row>
    <row r="231">
      <c r="L231" s="410"/>
    </row>
    <row r="232">
      <c r="L232" s="410"/>
    </row>
    <row r="233">
      <c r="L233" s="410"/>
    </row>
    <row r="234">
      <c r="L234" s="410"/>
    </row>
    <row r="235">
      <c r="L235" s="410"/>
    </row>
    <row r="236">
      <c r="L236" s="410"/>
    </row>
    <row r="237">
      <c r="L237" s="410"/>
    </row>
    <row r="238">
      <c r="L238" s="410"/>
    </row>
    <row r="239">
      <c r="L239" s="410"/>
    </row>
    <row r="240">
      <c r="L240" s="410"/>
    </row>
    <row r="241">
      <c r="L241" s="410"/>
    </row>
    <row r="242">
      <c r="L242" s="410"/>
    </row>
    <row r="243">
      <c r="L243" s="410"/>
    </row>
    <row r="244">
      <c r="L244" s="410"/>
    </row>
    <row r="245">
      <c r="L245" s="410"/>
    </row>
    <row r="246">
      <c r="L246" s="410"/>
    </row>
    <row r="247">
      <c r="L247" s="410"/>
    </row>
    <row r="248">
      <c r="L248" s="410"/>
    </row>
    <row r="249">
      <c r="L249" s="410"/>
    </row>
    <row r="250">
      <c r="L250" s="410"/>
    </row>
    <row r="251">
      <c r="L251" s="410"/>
    </row>
    <row r="252">
      <c r="L252" s="410"/>
    </row>
    <row r="253">
      <c r="L253" s="410"/>
    </row>
    <row r="254">
      <c r="L254" s="410"/>
    </row>
    <row r="255">
      <c r="L255" s="410"/>
    </row>
    <row r="256">
      <c r="L256" s="410"/>
    </row>
    <row r="257">
      <c r="L257" s="410"/>
    </row>
    <row r="258">
      <c r="L258" s="410"/>
    </row>
    <row r="259">
      <c r="L259" s="410"/>
    </row>
    <row r="260">
      <c r="L260" s="410"/>
    </row>
    <row r="261">
      <c r="L261" s="410"/>
    </row>
    <row r="262">
      <c r="L262" s="410"/>
    </row>
    <row r="263">
      <c r="L263" s="410"/>
    </row>
    <row r="264">
      <c r="L264" s="410"/>
    </row>
    <row r="265">
      <c r="L265" s="410"/>
    </row>
    <row r="266">
      <c r="L266" s="410"/>
    </row>
    <row r="267">
      <c r="L267" s="410"/>
    </row>
    <row r="268">
      <c r="L268" s="410"/>
    </row>
    <row r="269">
      <c r="L269" s="410"/>
    </row>
    <row r="270">
      <c r="L270" s="410"/>
    </row>
    <row r="271">
      <c r="L271" s="410"/>
    </row>
    <row r="272">
      <c r="L272" s="410"/>
    </row>
    <row r="273">
      <c r="L273" s="410"/>
    </row>
    <row r="274">
      <c r="L274" s="410"/>
    </row>
    <row r="275">
      <c r="L275" s="410"/>
    </row>
    <row r="276">
      <c r="L276" s="410"/>
    </row>
    <row r="277">
      <c r="L277" s="410"/>
    </row>
    <row r="278">
      <c r="L278" s="410"/>
    </row>
    <row r="279">
      <c r="L279" s="410"/>
    </row>
    <row r="280">
      <c r="L280" s="410"/>
    </row>
    <row r="281">
      <c r="L281" s="410"/>
    </row>
    <row r="282">
      <c r="L282" s="410"/>
    </row>
    <row r="283">
      <c r="L283" s="410"/>
    </row>
    <row r="284">
      <c r="L284" s="410"/>
    </row>
    <row r="285">
      <c r="L285" s="410"/>
    </row>
    <row r="286">
      <c r="L286" s="410"/>
    </row>
    <row r="287">
      <c r="L287" s="410"/>
    </row>
    <row r="288">
      <c r="L288" s="410"/>
    </row>
    <row r="289">
      <c r="L289" s="410"/>
    </row>
    <row r="290">
      <c r="L290" s="410"/>
    </row>
    <row r="291">
      <c r="L291" s="410"/>
    </row>
    <row r="292">
      <c r="L292" s="410"/>
    </row>
    <row r="293">
      <c r="L293" s="410"/>
    </row>
    <row r="294">
      <c r="L294" s="410"/>
    </row>
    <row r="295">
      <c r="L295" s="410"/>
    </row>
    <row r="296">
      <c r="L296" s="410"/>
    </row>
    <row r="297">
      <c r="L297" s="410"/>
    </row>
    <row r="298">
      <c r="L298" s="410"/>
    </row>
    <row r="299">
      <c r="L299" s="410"/>
    </row>
    <row r="300">
      <c r="L300" s="410"/>
    </row>
    <row r="301">
      <c r="L301" s="410"/>
    </row>
    <row r="302">
      <c r="L302" s="410"/>
    </row>
    <row r="303">
      <c r="L303" s="410"/>
    </row>
    <row r="304">
      <c r="L304" s="410"/>
    </row>
    <row r="305">
      <c r="L305" s="410"/>
    </row>
    <row r="306">
      <c r="L306" s="410"/>
    </row>
    <row r="307">
      <c r="L307" s="410"/>
    </row>
    <row r="308">
      <c r="L308" s="410"/>
    </row>
    <row r="309">
      <c r="L309" s="410"/>
    </row>
    <row r="310">
      <c r="L310" s="410"/>
    </row>
    <row r="311">
      <c r="L311" s="410"/>
    </row>
    <row r="312">
      <c r="L312" s="410"/>
    </row>
    <row r="313">
      <c r="L313" s="410"/>
    </row>
    <row r="314">
      <c r="L314" s="410"/>
    </row>
    <row r="315">
      <c r="L315" s="410"/>
    </row>
    <row r="316">
      <c r="L316" s="410"/>
    </row>
    <row r="317">
      <c r="L317" s="410"/>
    </row>
    <row r="318">
      <c r="L318" s="410"/>
    </row>
    <row r="319">
      <c r="L319" s="410"/>
    </row>
    <row r="320">
      <c r="L320" s="410"/>
    </row>
    <row r="321">
      <c r="L321" s="410"/>
    </row>
    <row r="322">
      <c r="L322" s="410"/>
    </row>
    <row r="323">
      <c r="L323" s="410"/>
    </row>
    <row r="324">
      <c r="L324" s="410"/>
    </row>
    <row r="325">
      <c r="L325" s="410"/>
    </row>
    <row r="326">
      <c r="L326" s="410"/>
    </row>
    <row r="327">
      <c r="L327" s="410"/>
    </row>
    <row r="328">
      <c r="L328" s="410"/>
    </row>
    <row r="329">
      <c r="L329" s="410"/>
    </row>
    <row r="330">
      <c r="L330" s="410"/>
    </row>
    <row r="331">
      <c r="L331" s="410"/>
    </row>
    <row r="332">
      <c r="L332" s="410"/>
    </row>
    <row r="333">
      <c r="L333" s="410"/>
    </row>
    <row r="334">
      <c r="L334" s="410"/>
    </row>
    <row r="335">
      <c r="L335" s="410"/>
    </row>
    <row r="336">
      <c r="L336" s="410"/>
    </row>
    <row r="337">
      <c r="L337" s="410"/>
    </row>
    <row r="338">
      <c r="L338" s="410"/>
    </row>
    <row r="339">
      <c r="L339" s="410"/>
    </row>
    <row r="340">
      <c r="L340" s="410"/>
    </row>
    <row r="341">
      <c r="L341" s="410"/>
    </row>
    <row r="342">
      <c r="L342" s="410"/>
    </row>
    <row r="343">
      <c r="L343" s="410"/>
    </row>
    <row r="344">
      <c r="L344" s="410"/>
    </row>
    <row r="345">
      <c r="L345" s="410"/>
    </row>
    <row r="346">
      <c r="L346" s="410"/>
    </row>
    <row r="347">
      <c r="L347" s="410"/>
    </row>
    <row r="348">
      <c r="L348" s="410"/>
    </row>
    <row r="349">
      <c r="L349" s="410"/>
    </row>
    <row r="350">
      <c r="L350" s="410"/>
    </row>
    <row r="351">
      <c r="L351" s="410"/>
    </row>
    <row r="352">
      <c r="L352" s="410"/>
    </row>
    <row r="353">
      <c r="L353" s="410"/>
    </row>
    <row r="354">
      <c r="L354" s="410"/>
    </row>
    <row r="355">
      <c r="L355" s="410"/>
    </row>
    <row r="356">
      <c r="L356" s="410"/>
    </row>
    <row r="357">
      <c r="L357" s="410"/>
    </row>
    <row r="358">
      <c r="L358" s="410"/>
    </row>
    <row r="359">
      <c r="L359" s="410"/>
    </row>
    <row r="360">
      <c r="L360" s="410"/>
    </row>
    <row r="361">
      <c r="L361" s="410"/>
    </row>
    <row r="362">
      <c r="L362" s="410"/>
    </row>
    <row r="363">
      <c r="L363" s="410"/>
    </row>
    <row r="364">
      <c r="L364" s="410"/>
    </row>
    <row r="365">
      <c r="L365" s="410"/>
    </row>
    <row r="366">
      <c r="L366" s="410"/>
    </row>
    <row r="367">
      <c r="L367" s="410"/>
    </row>
    <row r="368">
      <c r="L368" s="410"/>
    </row>
    <row r="369">
      <c r="L369" s="410"/>
    </row>
    <row r="370">
      <c r="L370" s="410"/>
    </row>
    <row r="371">
      <c r="L371" s="410"/>
    </row>
    <row r="372">
      <c r="L372" s="410"/>
    </row>
    <row r="373">
      <c r="L373" s="410"/>
    </row>
    <row r="374">
      <c r="L374" s="410"/>
    </row>
    <row r="375">
      <c r="L375" s="410"/>
    </row>
    <row r="376">
      <c r="L376" s="410"/>
    </row>
    <row r="377">
      <c r="L377" s="410"/>
    </row>
    <row r="378">
      <c r="L378" s="410"/>
    </row>
    <row r="379">
      <c r="L379" s="410"/>
    </row>
    <row r="380">
      <c r="L380" s="410"/>
    </row>
    <row r="381">
      <c r="L381" s="410"/>
    </row>
    <row r="382">
      <c r="L382" s="410"/>
    </row>
    <row r="383">
      <c r="L383" s="410"/>
    </row>
    <row r="384">
      <c r="L384" s="410"/>
    </row>
    <row r="385">
      <c r="L385" s="410"/>
    </row>
    <row r="386">
      <c r="L386" s="410"/>
    </row>
    <row r="387">
      <c r="L387" s="410"/>
    </row>
    <row r="388">
      <c r="L388" s="410"/>
    </row>
    <row r="389">
      <c r="L389" s="410"/>
    </row>
    <row r="390">
      <c r="L390" s="410"/>
    </row>
    <row r="391">
      <c r="L391" s="410"/>
    </row>
    <row r="392">
      <c r="L392" s="410"/>
    </row>
    <row r="393">
      <c r="L393" s="410"/>
    </row>
    <row r="394">
      <c r="L394" s="410"/>
    </row>
    <row r="395">
      <c r="L395" s="410"/>
    </row>
    <row r="396">
      <c r="L396" s="410"/>
    </row>
    <row r="397">
      <c r="L397" s="410"/>
    </row>
    <row r="398">
      <c r="L398" s="410"/>
    </row>
    <row r="399">
      <c r="L399" s="410"/>
    </row>
    <row r="400">
      <c r="L400" s="410"/>
    </row>
    <row r="401">
      <c r="L401" s="410"/>
    </row>
    <row r="402">
      <c r="L402" s="410"/>
    </row>
    <row r="403">
      <c r="L403" s="410"/>
    </row>
    <row r="404">
      <c r="L404" s="410"/>
    </row>
    <row r="405">
      <c r="L405" s="410"/>
    </row>
    <row r="406">
      <c r="L406" s="410"/>
    </row>
    <row r="407">
      <c r="L407" s="410"/>
    </row>
    <row r="408">
      <c r="L408" s="410"/>
    </row>
    <row r="409">
      <c r="L409" s="410"/>
    </row>
    <row r="410">
      <c r="L410" s="410"/>
    </row>
    <row r="411">
      <c r="L411" s="410"/>
    </row>
    <row r="412">
      <c r="L412" s="410"/>
    </row>
    <row r="413">
      <c r="L413" s="410"/>
    </row>
    <row r="414">
      <c r="L414" s="410"/>
    </row>
    <row r="415">
      <c r="L415" s="410"/>
    </row>
    <row r="416">
      <c r="L416" s="410"/>
    </row>
    <row r="417">
      <c r="L417" s="410"/>
    </row>
    <row r="418">
      <c r="L418" s="410"/>
    </row>
    <row r="419">
      <c r="L419" s="410"/>
    </row>
    <row r="420">
      <c r="L420" s="410"/>
    </row>
    <row r="421">
      <c r="L421" s="410"/>
    </row>
    <row r="422">
      <c r="L422" s="410"/>
    </row>
    <row r="423">
      <c r="L423" s="410"/>
    </row>
    <row r="424">
      <c r="L424" s="410"/>
    </row>
    <row r="425">
      <c r="L425" s="410"/>
    </row>
    <row r="426">
      <c r="L426" s="410"/>
    </row>
    <row r="427">
      <c r="L427" s="410"/>
    </row>
    <row r="428">
      <c r="L428" s="410"/>
    </row>
    <row r="429">
      <c r="L429" s="410"/>
    </row>
    <row r="430">
      <c r="L430" s="410"/>
    </row>
    <row r="431">
      <c r="L431" s="410"/>
    </row>
    <row r="432">
      <c r="L432" s="410"/>
    </row>
    <row r="433">
      <c r="L433" s="410"/>
    </row>
    <row r="434">
      <c r="L434" s="410"/>
    </row>
    <row r="435">
      <c r="L435" s="410"/>
    </row>
    <row r="436">
      <c r="L436" s="410"/>
    </row>
    <row r="437">
      <c r="L437" s="410"/>
    </row>
    <row r="438">
      <c r="L438" s="410"/>
    </row>
    <row r="439">
      <c r="L439" s="410"/>
    </row>
    <row r="440">
      <c r="L440" s="410"/>
    </row>
    <row r="441">
      <c r="L441" s="410"/>
    </row>
    <row r="442">
      <c r="L442" s="410"/>
    </row>
    <row r="443">
      <c r="L443" s="410"/>
    </row>
    <row r="444">
      <c r="L444" s="410"/>
    </row>
    <row r="445">
      <c r="L445" s="410"/>
    </row>
    <row r="446">
      <c r="L446" s="410"/>
    </row>
    <row r="447">
      <c r="L447" s="410"/>
    </row>
    <row r="448">
      <c r="L448" s="410"/>
    </row>
    <row r="449">
      <c r="L449" s="410"/>
    </row>
    <row r="450">
      <c r="L450" s="410"/>
    </row>
    <row r="451">
      <c r="L451" s="410"/>
    </row>
    <row r="452">
      <c r="L452" s="410"/>
    </row>
    <row r="453">
      <c r="L453" s="410"/>
    </row>
    <row r="454">
      <c r="L454" s="410"/>
    </row>
    <row r="455">
      <c r="L455" s="410"/>
    </row>
    <row r="456">
      <c r="L456" s="410"/>
    </row>
    <row r="457">
      <c r="L457" s="410"/>
    </row>
    <row r="458">
      <c r="L458" s="410"/>
    </row>
    <row r="459">
      <c r="L459" s="410"/>
    </row>
    <row r="460">
      <c r="L460" s="410"/>
    </row>
    <row r="461">
      <c r="L461" s="410"/>
    </row>
    <row r="462">
      <c r="L462" s="410"/>
    </row>
    <row r="463">
      <c r="L463" s="410"/>
    </row>
    <row r="464">
      <c r="L464" s="410"/>
    </row>
    <row r="465">
      <c r="L465" s="410"/>
    </row>
    <row r="466">
      <c r="L466" s="410"/>
    </row>
    <row r="467">
      <c r="L467" s="410"/>
    </row>
    <row r="468">
      <c r="L468" s="410"/>
    </row>
    <row r="469">
      <c r="L469" s="410"/>
    </row>
    <row r="470">
      <c r="L470" s="410"/>
    </row>
    <row r="471">
      <c r="L471" s="410"/>
    </row>
    <row r="472">
      <c r="L472" s="410"/>
    </row>
    <row r="473">
      <c r="L473" s="410"/>
    </row>
    <row r="474">
      <c r="L474" s="410"/>
    </row>
    <row r="475">
      <c r="L475" s="410"/>
    </row>
    <row r="476">
      <c r="L476" s="410"/>
    </row>
    <row r="477">
      <c r="L477" s="410"/>
    </row>
    <row r="478">
      <c r="L478" s="410"/>
    </row>
    <row r="479">
      <c r="L479" s="410"/>
    </row>
    <row r="480">
      <c r="L480" s="410"/>
    </row>
    <row r="481">
      <c r="L481" s="410"/>
    </row>
    <row r="482">
      <c r="L482" s="410"/>
    </row>
    <row r="483">
      <c r="L483" s="410"/>
    </row>
    <row r="484">
      <c r="L484" s="410"/>
    </row>
    <row r="485">
      <c r="L485" s="410"/>
    </row>
    <row r="486">
      <c r="L486" s="410"/>
    </row>
    <row r="487">
      <c r="L487" s="410"/>
    </row>
    <row r="488">
      <c r="L488" s="410"/>
    </row>
    <row r="489">
      <c r="L489" s="410"/>
    </row>
    <row r="490">
      <c r="L490" s="410"/>
    </row>
    <row r="491">
      <c r="L491" s="410"/>
    </row>
    <row r="492">
      <c r="L492" s="410"/>
    </row>
    <row r="493">
      <c r="L493" s="410"/>
    </row>
    <row r="494">
      <c r="L494" s="410"/>
    </row>
    <row r="495">
      <c r="L495" s="410"/>
    </row>
    <row r="496">
      <c r="L496" s="410"/>
    </row>
    <row r="497">
      <c r="L497" s="410"/>
    </row>
    <row r="498">
      <c r="L498" s="410"/>
    </row>
    <row r="499">
      <c r="L499" s="410"/>
    </row>
    <row r="500">
      <c r="L500" s="410"/>
    </row>
    <row r="501">
      <c r="L501" s="410"/>
    </row>
    <row r="502">
      <c r="L502" s="410"/>
    </row>
    <row r="503">
      <c r="L503" s="410"/>
    </row>
    <row r="504">
      <c r="L504" s="410"/>
    </row>
    <row r="505">
      <c r="L505" s="410"/>
    </row>
    <row r="506">
      <c r="L506" s="410"/>
    </row>
    <row r="507">
      <c r="L507" s="410"/>
    </row>
    <row r="508">
      <c r="L508" s="410"/>
    </row>
    <row r="509">
      <c r="L509" s="410"/>
    </row>
    <row r="510">
      <c r="L510" s="410"/>
    </row>
    <row r="511">
      <c r="L511" s="410"/>
    </row>
    <row r="512">
      <c r="L512" s="410"/>
    </row>
    <row r="513">
      <c r="L513" s="410"/>
    </row>
    <row r="514">
      <c r="L514" s="410"/>
    </row>
    <row r="515">
      <c r="L515" s="410"/>
    </row>
    <row r="516">
      <c r="L516" s="410"/>
    </row>
    <row r="517">
      <c r="L517" s="410"/>
    </row>
    <row r="518">
      <c r="L518" s="410"/>
    </row>
    <row r="519">
      <c r="L519" s="410"/>
    </row>
    <row r="520">
      <c r="L520" s="410"/>
    </row>
    <row r="521">
      <c r="L521" s="410"/>
    </row>
    <row r="522">
      <c r="L522" s="410"/>
    </row>
    <row r="523">
      <c r="L523" s="410"/>
    </row>
    <row r="524">
      <c r="L524" s="410"/>
    </row>
    <row r="525">
      <c r="L525" s="410"/>
    </row>
    <row r="526">
      <c r="L526" s="410"/>
    </row>
    <row r="527">
      <c r="L527" s="410"/>
    </row>
    <row r="528">
      <c r="L528" s="410"/>
    </row>
    <row r="529">
      <c r="L529" s="410"/>
    </row>
    <row r="530">
      <c r="L530" s="410"/>
    </row>
    <row r="531">
      <c r="L531" s="410"/>
    </row>
    <row r="532">
      <c r="L532" s="410"/>
    </row>
    <row r="533">
      <c r="L533" s="410"/>
    </row>
    <row r="534">
      <c r="L534" s="410"/>
    </row>
    <row r="535">
      <c r="L535" s="410"/>
    </row>
    <row r="536">
      <c r="L536" s="410"/>
    </row>
    <row r="537">
      <c r="L537" s="410"/>
    </row>
    <row r="538">
      <c r="L538" s="410"/>
    </row>
    <row r="539">
      <c r="L539" s="410"/>
    </row>
    <row r="540">
      <c r="L540" s="410"/>
    </row>
    <row r="541">
      <c r="L541" s="410"/>
    </row>
    <row r="542">
      <c r="L542" s="410"/>
    </row>
    <row r="543">
      <c r="L543" s="410"/>
    </row>
    <row r="544">
      <c r="L544" s="410"/>
    </row>
    <row r="545">
      <c r="L545" s="410"/>
    </row>
    <row r="546">
      <c r="L546" s="410"/>
    </row>
    <row r="547">
      <c r="L547" s="410"/>
    </row>
    <row r="548">
      <c r="L548" s="410"/>
    </row>
    <row r="549">
      <c r="L549" s="410"/>
    </row>
    <row r="550">
      <c r="L550" s="410"/>
    </row>
    <row r="551">
      <c r="L551" s="410"/>
    </row>
    <row r="552">
      <c r="L552" s="410"/>
    </row>
    <row r="553">
      <c r="L553" s="410"/>
    </row>
    <row r="554">
      <c r="L554" s="410"/>
    </row>
    <row r="555">
      <c r="L555" s="410"/>
    </row>
    <row r="556">
      <c r="L556" s="410"/>
    </row>
    <row r="557">
      <c r="L557" s="410"/>
    </row>
    <row r="558">
      <c r="L558" s="410"/>
    </row>
    <row r="559">
      <c r="L559" s="410"/>
    </row>
    <row r="560">
      <c r="L560" s="410"/>
    </row>
    <row r="561">
      <c r="L561" s="410"/>
    </row>
    <row r="562">
      <c r="L562" s="410"/>
    </row>
    <row r="563">
      <c r="L563" s="410"/>
    </row>
    <row r="564">
      <c r="L564" s="410"/>
    </row>
    <row r="565">
      <c r="L565" s="410"/>
    </row>
    <row r="566">
      <c r="L566" s="410"/>
    </row>
    <row r="567">
      <c r="L567" s="410"/>
    </row>
    <row r="568">
      <c r="L568" s="410"/>
    </row>
    <row r="569">
      <c r="L569" s="410"/>
    </row>
    <row r="570">
      <c r="L570" s="410"/>
    </row>
    <row r="571">
      <c r="L571" s="410"/>
    </row>
    <row r="572">
      <c r="L572" s="410"/>
    </row>
    <row r="573">
      <c r="L573" s="410"/>
    </row>
    <row r="574">
      <c r="L574" s="410"/>
    </row>
    <row r="575">
      <c r="L575" s="410"/>
    </row>
    <row r="576">
      <c r="L576" s="410"/>
    </row>
    <row r="577">
      <c r="L577" s="410"/>
    </row>
    <row r="578">
      <c r="L578" s="410"/>
    </row>
    <row r="579">
      <c r="L579" s="410"/>
    </row>
    <row r="580">
      <c r="L580" s="410"/>
    </row>
    <row r="581">
      <c r="L581" s="410"/>
    </row>
    <row r="582">
      <c r="L582" s="410"/>
    </row>
    <row r="583">
      <c r="L583" s="410"/>
    </row>
    <row r="584">
      <c r="L584" s="410"/>
    </row>
    <row r="585">
      <c r="L585" s="410"/>
    </row>
    <row r="586">
      <c r="L586" s="410"/>
    </row>
    <row r="587">
      <c r="L587" s="410"/>
    </row>
    <row r="588">
      <c r="L588" s="410"/>
    </row>
    <row r="589">
      <c r="L589" s="410"/>
    </row>
    <row r="590">
      <c r="L590" s="410"/>
    </row>
    <row r="591">
      <c r="L591" s="410"/>
    </row>
    <row r="592">
      <c r="L592" s="410"/>
    </row>
    <row r="593">
      <c r="L593" s="410"/>
    </row>
    <row r="594">
      <c r="L594" s="410"/>
    </row>
    <row r="595">
      <c r="L595" s="410"/>
    </row>
    <row r="596">
      <c r="L596" s="410"/>
    </row>
    <row r="597">
      <c r="L597" s="410"/>
    </row>
    <row r="598">
      <c r="L598" s="410"/>
    </row>
    <row r="599">
      <c r="L599" s="410"/>
    </row>
    <row r="600">
      <c r="L600" s="410"/>
    </row>
    <row r="601">
      <c r="L601" s="410"/>
    </row>
    <row r="602">
      <c r="L602" s="410"/>
    </row>
    <row r="603">
      <c r="L603" s="410"/>
    </row>
    <row r="604">
      <c r="L604" s="410"/>
    </row>
    <row r="605">
      <c r="L605" s="410"/>
    </row>
    <row r="606">
      <c r="L606" s="410"/>
    </row>
    <row r="607">
      <c r="L607" s="410"/>
    </row>
    <row r="608">
      <c r="L608" s="410"/>
    </row>
    <row r="609">
      <c r="L609" s="410"/>
    </row>
    <row r="610">
      <c r="L610" s="410"/>
    </row>
    <row r="611">
      <c r="L611" s="410"/>
    </row>
    <row r="612">
      <c r="L612" s="410"/>
    </row>
    <row r="613">
      <c r="L613" s="410"/>
    </row>
    <row r="614">
      <c r="L614" s="410"/>
    </row>
    <row r="615">
      <c r="L615" s="410"/>
    </row>
    <row r="616">
      <c r="L616" s="410"/>
    </row>
    <row r="617">
      <c r="L617" s="410"/>
    </row>
    <row r="618">
      <c r="L618" s="410"/>
    </row>
    <row r="619">
      <c r="L619" s="410"/>
    </row>
    <row r="620">
      <c r="L620" s="410"/>
    </row>
    <row r="621">
      <c r="L621" s="410"/>
    </row>
    <row r="622">
      <c r="L622" s="410"/>
    </row>
    <row r="623">
      <c r="L623" s="410"/>
    </row>
    <row r="624">
      <c r="L624" s="410"/>
    </row>
    <row r="625">
      <c r="L625" s="410"/>
    </row>
    <row r="626">
      <c r="L626" s="410"/>
    </row>
    <row r="627">
      <c r="L627" s="410"/>
    </row>
    <row r="628">
      <c r="L628" s="410"/>
    </row>
    <row r="629">
      <c r="L629" s="410"/>
    </row>
    <row r="630">
      <c r="L630" s="410"/>
    </row>
    <row r="631">
      <c r="L631" s="410"/>
    </row>
    <row r="632">
      <c r="L632" s="410"/>
    </row>
    <row r="633">
      <c r="L633" s="410"/>
    </row>
    <row r="634">
      <c r="L634" s="410"/>
    </row>
    <row r="635">
      <c r="L635" s="410"/>
    </row>
    <row r="636">
      <c r="L636" s="410"/>
    </row>
    <row r="637">
      <c r="L637" s="410"/>
    </row>
    <row r="638">
      <c r="L638" s="410"/>
    </row>
    <row r="639">
      <c r="L639" s="410"/>
    </row>
    <row r="640">
      <c r="L640" s="410"/>
    </row>
    <row r="641">
      <c r="L641" s="410"/>
    </row>
    <row r="642">
      <c r="L642" s="410"/>
    </row>
    <row r="643">
      <c r="L643" s="410"/>
    </row>
    <row r="644">
      <c r="L644" s="410"/>
    </row>
    <row r="645">
      <c r="L645" s="410"/>
    </row>
    <row r="646">
      <c r="L646" s="410"/>
    </row>
    <row r="647">
      <c r="L647" s="410"/>
    </row>
    <row r="648">
      <c r="L648" s="410"/>
    </row>
    <row r="649">
      <c r="L649" s="410"/>
    </row>
    <row r="650">
      <c r="L650" s="410"/>
    </row>
    <row r="651">
      <c r="L651" s="410"/>
    </row>
    <row r="652">
      <c r="L652" s="410"/>
    </row>
    <row r="653">
      <c r="L653" s="410"/>
    </row>
    <row r="654">
      <c r="L654" s="410"/>
    </row>
    <row r="655">
      <c r="L655" s="410"/>
    </row>
    <row r="656">
      <c r="L656" s="410"/>
    </row>
    <row r="657">
      <c r="L657" s="410"/>
    </row>
    <row r="658">
      <c r="L658" s="410"/>
    </row>
    <row r="659">
      <c r="L659" s="410"/>
    </row>
    <row r="660">
      <c r="L660" s="410"/>
    </row>
    <row r="661">
      <c r="L661" s="410"/>
    </row>
    <row r="662">
      <c r="L662" s="410"/>
    </row>
    <row r="663">
      <c r="L663" s="410"/>
    </row>
    <row r="664">
      <c r="L664" s="410"/>
    </row>
    <row r="665">
      <c r="L665" s="410"/>
    </row>
    <row r="666">
      <c r="L666" s="410"/>
    </row>
    <row r="667">
      <c r="L667" s="410"/>
    </row>
    <row r="668">
      <c r="L668" s="410"/>
    </row>
    <row r="669">
      <c r="L669" s="410"/>
    </row>
    <row r="670">
      <c r="L670" s="410"/>
    </row>
    <row r="671">
      <c r="L671" s="410"/>
    </row>
    <row r="672">
      <c r="L672" s="410"/>
    </row>
    <row r="673">
      <c r="L673" s="410"/>
    </row>
    <row r="674">
      <c r="L674" s="410"/>
    </row>
    <row r="675">
      <c r="L675" s="410"/>
    </row>
    <row r="676">
      <c r="L676" s="410"/>
    </row>
    <row r="677">
      <c r="L677" s="410"/>
    </row>
    <row r="678">
      <c r="L678" s="410"/>
    </row>
    <row r="679">
      <c r="L679" s="410"/>
    </row>
    <row r="680">
      <c r="L680" s="410"/>
    </row>
    <row r="681">
      <c r="L681" s="410"/>
    </row>
    <row r="682">
      <c r="L682" s="410"/>
    </row>
    <row r="683">
      <c r="L683" s="410"/>
    </row>
    <row r="684">
      <c r="L684" s="410"/>
    </row>
    <row r="685">
      <c r="L685" s="410"/>
    </row>
    <row r="686">
      <c r="L686" s="410"/>
    </row>
    <row r="687">
      <c r="L687" s="410"/>
    </row>
    <row r="688">
      <c r="L688" s="410"/>
    </row>
    <row r="689">
      <c r="L689" s="410"/>
    </row>
    <row r="690">
      <c r="L690" s="410"/>
    </row>
    <row r="691">
      <c r="L691" s="410"/>
    </row>
    <row r="692">
      <c r="L692" s="410"/>
    </row>
    <row r="693">
      <c r="L693" s="410"/>
    </row>
    <row r="694">
      <c r="L694" s="410"/>
    </row>
    <row r="695">
      <c r="L695" s="410"/>
    </row>
    <row r="696">
      <c r="L696" s="410"/>
    </row>
    <row r="697">
      <c r="L697" s="410"/>
    </row>
    <row r="698">
      <c r="L698" s="410"/>
    </row>
    <row r="699">
      <c r="L699" s="410"/>
    </row>
    <row r="700">
      <c r="L700" s="410"/>
    </row>
    <row r="701">
      <c r="L701" s="410"/>
    </row>
    <row r="702">
      <c r="L702" s="410"/>
    </row>
    <row r="703">
      <c r="L703" s="410"/>
    </row>
    <row r="704">
      <c r="L704" s="410"/>
    </row>
    <row r="705">
      <c r="L705" s="410"/>
    </row>
    <row r="706">
      <c r="L706" s="410"/>
    </row>
    <row r="707">
      <c r="L707" s="410"/>
    </row>
    <row r="708">
      <c r="L708" s="410"/>
    </row>
    <row r="709">
      <c r="L709" s="410"/>
    </row>
    <row r="710">
      <c r="L710" s="410"/>
    </row>
    <row r="711">
      <c r="L711" s="410"/>
    </row>
    <row r="712">
      <c r="L712" s="410"/>
    </row>
    <row r="713">
      <c r="L713" s="410"/>
    </row>
    <row r="714">
      <c r="L714" s="410"/>
    </row>
    <row r="715">
      <c r="L715" s="410"/>
    </row>
    <row r="716">
      <c r="L716" s="410"/>
    </row>
    <row r="717">
      <c r="L717" s="410"/>
    </row>
    <row r="718">
      <c r="L718" s="410"/>
    </row>
    <row r="719">
      <c r="L719" s="410"/>
    </row>
    <row r="720">
      <c r="L720" s="410"/>
    </row>
    <row r="721">
      <c r="L721" s="410"/>
    </row>
    <row r="722">
      <c r="L722" s="410"/>
    </row>
    <row r="723">
      <c r="L723" s="410"/>
    </row>
    <row r="724">
      <c r="L724" s="410"/>
    </row>
    <row r="725">
      <c r="L725" s="410"/>
    </row>
    <row r="726">
      <c r="L726" s="410"/>
    </row>
    <row r="727">
      <c r="L727" s="410"/>
    </row>
    <row r="728">
      <c r="L728" s="410"/>
    </row>
    <row r="729">
      <c r="L729" s="410"/>
    </row>
    <row r="730">
      <c r="L730" s="410"/>
    </row>
    <row r="731">
      <c r="L731" s="410"/>
    </row>
    <row r="732">
      <c r="L732" s="410"/>
    </row>
    <row r="733">
      <c r="L733" s="410"/>
    </row>
    <row r="734">
      <c r="L734" s="410"/>
    </row>
    <row r="735">
      <c r="L735" s="410"/>
    </row>
    <row r="736">
      <c r="L736" s="410"/>
    </row>
    <row r="737">
      <c r="L737" s="410"/>
    </row>
    <row r="738">
      <c r="L738" s="410"/>
    </row>
    <row r="739">
      <c r="L739" s="410"/>
    </row>
    <row r="740">
      <c r="L740" s="410"/>
    </row>
    <row r="741">
      <c r="L741" s="410"/>
    </row>
    <row r="742">
      <c r="L742" s="410"/>
    </row>
    <row r="743">
      <c r="L743" s="410"/>
    </row>
    <row r="744">
      <c r="L744" s="410"/>
    </row>
    <row r="745">
      <c r="L745" s="410"/>
    </row>
    <row r="746">
      <c r="L746" s="410"/>
    </row>
    <row r="747">
      <c r="L747" s="410"/>
    </row>
    <row r="748">
      <c r="L748" s="410"/>
    </row>
    <row r="749">
      <c r="L749" s="410"/>
    </row>
    <row r="750">
      <c r="L750" s="410"/>
    </row>
    <row r="751">
      <c r="L751" s="410"/>
    </row>
    <row r="752">
      <c r="L752" s="410"/>
    </row>
    <row r="753">
      <c r="L753" s="410"/>
    </row>
    <row r="754">
      <c r="L754" s="410"/>
    </row>
    <row r="755">
      <c r="L755" s="410"/>
    </row>
    <row r="756">
      <c r="L756" s="410"/>
    </row>
    <row r="757">
      <c r="L757" s="410"/>
    </row>
    <row r="758">
      <c r="L758" s="410"/>
    </row>
    <row r="759">
      <c r="L759" s="410"/>
    </row>
    <row r="760">
      <c r="L760" s="410"/>
    </row>
    <row r="761">
      <c r="L761" s="410"/>
    </row>
    <row r="762">
      <c r="L762" s="410"/>
    </row>
    <row r="763">
      <c r="L763" s="410"/>
    </row>
    <row r="764">
      <c r="L764" s="410"/>
    </row>
    <row r="765">
      <c r="L765" s="410"/>
    </row>
    <row r="766">
      <c r="L766" s="410"/>
    </row>
    <row r="767">
      <c r="L767" s="410"/>
    </row>
    <row r="768">
      <c r="L768" s="410"/>
    </row>
    <row r="769">
      <c r="L769" s="410"/>
    </row>
    <row r="770">
      <c r="L770" s="410"/>
    </row>
    <row r="771">
      <c r="L771" s="410"/>
    </row>
    <row r="772">
      <c r="L772" s="410"/>
    </row>
    <row r="773">
      <c r="L773" s="410"/>
    </row>
    <row r="774">
      <c r="L774" s="410"/>
    </row>
    <row r="775">
      <c r="L775" s="410"/>
    </row>
    <row r="776">
      <c r="L776" s="410"/>
    </row>
    <row r="777">
      <c r="L777" s="410"/>
    </row>
    <row r="778">
      <c r="L778" s="410"/>
    </row>
    <row r="779">
      <c r="L779" s="410"/>
    </row>
    <row r="780">
      <c r="L780" s="410"/>
    </row>
    <row r="781">
      <c r="L781" s="410"/>
    </row>
    <row r="782">
      <c r="L782" s="410"/>
    </row>
    <row r="783">
      <c r="L783" s="410"/>
    </row>
    <row r="784">
      <c r="L784" s="410"/>
    </row>
    <row r="785">
      <c r="L785" s="410"/>
    </row>
    <row r="786">
      <c r="L786" s="410"/>
    </row>
    <row r="787">
      <c r="L787" s="410"/>
    </row>
    <row r="788">
      <c r="L788" s="410"/>
    </row>
    <row r="789">
      <c r="L789" s="410"/>
    </row>
    <row r="790">
      <c r="L790" s="410"/>
    </row>
    <row r="791">
      <c r="L791" s="410"/>
    </row>
    <row r="792">
      <c r="L792" s="410"/>
    </row>
    <row r="793">
      <c r="L793" s="410"/>
    </row>
    <row r="794">
      <c r="L794" s="410"/>
    </row>
    <row r="795">
      <c r="L795" s="410"/>
    </row>
    <row r="796">
      <c r="L796" s="410"/>
    </row>
    <row r="797">
      <c r="L797" s="410"/>
    </row>
    <row r="798">
      <c r="L798" s="410"/>
    </row>
    <row r="799">
      <c r="L799" s="410"/>
    </row>
    <row r="800">
      <c r="L800" s="410"/>
    </row>
    <row r="801">
      <c r="L801" s="410"/>
    </row>
    <row r="802">
      <c r="L802" s="410"/>
    </row>
    <row r="803">
      <c r="L803" s="410"/>
    </row>
    <row r="804">
      <c r="L804" s="410"/>
    </row>
    <row r="805">
      <c r="L805" s="410"/>
    </row>
    <row r="806">
      <c r="L806" s="410"/>
    </row>
    <row r="807">
      <c r="L807" s="410"/>
    </row>
    <row r="808">
      <c r="L808" s="410"/>
    </row>
    <row r="809">
      <c r="L809" s="410"/>
    </row>
    <row r="810">
      <c r="L810" s="410"/>
    </row>
    <row r="811">
      <c r="L811" s="410"/>
    </row>
    <row r="812">
      <c r="L812" s="410"/>
    </row>
    <row r="813">
      <c r="L813" s="410"/>
    </row>
    <row r="814">
      <c r="L814" s="410"/>
    </row>
    <row r="815">
      <c r="L815" s="410"/>
    </row>
    <row r="816">
      <c r="L816" s="410"/>
    </row>
    <row r="817">
      <c r="L817" s="410"/>
    </row>
    <row r="818">
      <c r="L818" s="410"/>
    </row>
    <row r="819">
      <c r="L819" s="410"/>
    </row>
    <row r="820">
      <c r="L820" s="410"/>
    </row>
    <row r="821">
      <c r="L821" s="410"/>
    </row>
    <row r="822">
      <c r="L822" s="410"/>
    </row>
    <row r="823">
      <c r="L823" s="410"/>
    </row>
    <row r="824">
      <c r="L824" s="410"/>
    </row>
    <row r="825">
      <c r="L825" s="410"/>
    </row>
    <row r="826">
      <c r="L826" s="410"/>
    </row>
    <row r="827">
      <c r="L827" s="410"/>
    </row>
    <row r="828">
      <c r="L828" s="410"/>
    </row>
    <row r="829">
      <c r="L829" s="410"/>
    </row>
    <row r="830">
      <c r="L830" s="410"/>
    </row>
    <row r="831">
      <c r="L831" s="410"/>
    </row>
    <row r="832">
      <c r="L832" s="410"/>
    </row>
    <row r="833">
      <c r="L833" s="410"/>
    </row>
    <row r="834">
      <c r="L834" s="410"/>
    </row>
    <row r="835">
      <c r="L835" s="410"/>
    </row>
    <row r="836">
      <c r="L836" s="410"/>
    </row>
    <row r="837">
      <c r="L837" s="410"/>
    </row>
    <row r="838">
      <c r="L838" s="410"/>
    </row>
    <row r="839">
      <c r="L839" s="410"/>
    </row>
    <row r="840">
      <c r="L840" s="410"/>
    </row>
    <row r="841">
      <c r="L841" s="410"/>
    </row>
    <row r="842">
      <c r="L842" s="410"/>
    </row>
    <row r="843">
      <c r="L843" s="410"/>
    </row>
    <row r="844">
      <c r="L844" s="410"/>
    </row>
    <row r="845">
      <c r="L845" s="410"/>
    </row>
    <row r="846">
      <c r="L846" s="410"/>
    </row>
    <row r="847">
      <c r="L847" s="410"/>
    </row>
    <row r="848">
      <c r="L848" s="410"/>
    </row>
    <row r="849">
      <c r="L849" s="410"/>
    </row>
    <row r="850">
      <c r="L850" s="410"/>
    </row>
    <row r="851">
      <c r="L851" s="410"/>
    </row>
    <row r="852">
      <c r="L852" s="410"/>
    </row>
    <row r="853">
      <c r="L853" s="410"/>
    </row>
    <row r="854">
      <c r="L854" s="410"/>
    </row>
    <row r="855">
      <c r="L855" s="410"/>
    </row>
    <row r="856">
      <c r="L856" s="410"/>
    </row>
    <row r="857">
      <c r="L857" s="410"/>
    </row>
    <row r="858">
      <c r="L858" s="410"/>
    </row>
    <row r="859">
      <c r="L859" s="410"/>
    </row>
    <row r="860">
      <c r="L860" s="410"/>
    </row>
    <row r="861">
      <c r="L861" s="410"/>
    </row>
    <row r="862">
      <c r="L862" s="410"/>
    </row>
    <row r="863">
      <c r="L863" s="410"/>
    </row>
    <row r="864">
      <c r="L864" s="410"/>
    </row>
    <row r="865">
      <c r="L865" s="410"/>
    </row>
    <row r="866">
      <c r="L866" s="410"/>
    </row>
    <row r="867">
      <c r="L867" s="410"/>
    </row>
    <row r="868">
      <c r="L868" s="410"/>
    </row>
    <row r="869">
      <c r="L869" s="410"/>
    </row>
    <row r="870">
      <c r="L870" s="410"/>
    </row>
    <row r="871">
      <c r="L871" s="410"/>
    </row>
    <row r="872">
      <c r="L872" s="410"/>
    </row>
    <row r="873">
      <c r="L873" s="410"/>
    </row>
    <row r="874">
      <c r="L874" s="410"/>
    </row>
    <row r="875">
      <c r="L875" s="410"/>
    </row>
    <row r="876">
      <c r="L876" s="410"/>
    </row>
    <row r="877">
      <c r="L877" s="410"/>
    </row>
    <row r="878">
      <c r="L878" s="410"/>
    </row>
    <row r="879">
      <c r="L879" s="410"/>
    </row>
    <row r="880">
      <c r="L880" s="410"/>
    </row>
    <row r="881">
      <c r="L881" s="410"/>
    </row>
    <row r="882">
      <c r="L882" s="410"/>
    </row>
    <row r="883">
      <c r="L883" s="410"/>
    </row>
    <row r="884">
      <c r="L884" s="410"/>
    </row>
    <row r="885">
      <c r="L885" s="410"/>
    </row>
    <row r="886">
      <c r="L886" s="410"/>
    </row>
    <row r="887">
      <c r="L887" s="410"/>
    </row>
    <row r="888">
      <c r="L888" s="410"/>
    </row>
    <row r="889">
      <c r="L889" s="410"/>
    </row>
    <row r="890">
      <c r="L890" s="410"/>
    </row>
    <row r="891">
      <c r="L891" s="410"/>
    </row>
    <row r="892">
      <c r="L892" s="410"/>
    </row>
    <row r="893">
      <c r="L893" s="410"/>
    </row>
    <row r="894">
      <c r="L894" s="410"/>
    </row>
    <row r="895">
      <c r="L895" s="410"/>
    </row>
    <row r="896">
      <c r="L896" s="410"/>
    </row>
    <row r="897">
      <c r="L897" s="410"/>
    </row>
    <row r="898">
      <c r="L898" s="410"/>
    </row>
    <row r="899">
      <c r="L899" s="410"/>
    </row>
    <row r="900">
      <c r="L900" s="410"/>
    </row>
    <row r="901">
      <c r="L901" s="410"/>
    </row>
    <row r="902">
      <c r="L902" s="410"/>
    </row>
    <row r="903">
      <c r="L903" s="410"/>
    </row>
    <row r="904">
      <c r="L904" s="410"/>
    </row>
    <row r="905">
      <c r="L905" s="410"/>
    </row>
    <row r="906">
      <c r="L906" s="410"/>
    </row>
    <row r="907">
      <c r="L907" s="410"/>
    </row>
    <row r="908">
      <c r="L908" s="410"/>
    </row>
    <row r="909">
      <c r="L909" s="410"/>
    </row>
    <row r="910">
      <c r="L910" s="410"/>
    </row>
    <row r="911">
      <c r="L911" s="410"/>
    </row>
    <row r="912">
      <c r="L912" s="410"/>
    </row>
    <row r="913">
      <c r="L913" s="410"/>
    </row>
    <row r="914">
      <c r="L914" s="410"/>
    </row>
    <row r="915">
      <c r="L915" s="410"/>
    </row>
    <row r="916">
      <c r="L916" s="410"/>
    </row>
    <row r="917">
      <c r="L917" s="410"/>
    </row>
    <row r="918">
      <c r="L918" s="410"/>
    </row>
    <row r="919">
      <c r="L919" s="410"/>
    </row>
    <row r="920">
      <c r="L920" s="410"/>
    </row>
    <row r="921">
      <c r="L921" s="410"/>
    </row>
    <row r="922">
      <c r="L922" s="410"/>
    </row>
    <row r="923">
      <c r="L923" s="410"/>
    </row>
    <row r="924">
      <c r="L924" s="410"/>
    </row>
    <row r="925">
      <c r="L925" s="410"/>
    </row>
    <row r="926">
      <c r="L926" s="410"/>
    </row>
    <row r="927">
      <c r="L927" s="410"/>
    </row>
    <row r="928">
      <c r="L928" s="410"/>
    </row>
    <row r="929">
      <c r="L929" s="410"/>
    </row>
    <row r="930">
      <c r="L930" s="410"/>
    </row>
    <row r="931">
      <c r="L931" s="410"/>
    </row>
    <row r="932">
      <c r="L932" s="410"/>
    </row>
    <row r="933">
      <c r="L933" s="410"/>
    </row>
    <row r="934">
      <c r="L934" s="410"/>
    </row>
    <row r="935">
      <c r="L935" s="410"/>
    </row>
    <row r="936">
      <c r="L936" s="410"/>
    </row>
    <row r="937">
      <c r="L937" s="410"/>
    </row>
    <row r="938">
      <c r="L938" s="410"/>
    </row>
    <row r="939">
      <c r="L939" s="410"/>
    </row>
    <row r="940">
      <c r="L940" s="410"/>
    </row>
    <row r="941">
      <c r="L941" s="410"/>
    </row>
    <row r="942">
      <c r="L942" s="410"/>
    </row>
    <row r="943">
      <c r="L943" s="410"/>
    </row>
    <row r="944">
      <c r="L944" s="410"/>
    </row>
    <row r="945">
      <c r="L945" s="410"/>
    </row>
    <row r="946">
      <c r="L946" s="410"/>
    </row>
    <row r="947">
      <c r="L947" s="410"/>
    </row>
    <row r="948">
      <c r="L948" s="410"/>
    </row>
    <row r="949">
      <c r="L949" s="410"/>
    </row>
    <row r="950">
      <c r="L950" s="410"/>
    </row>
    <row r="951">
      <c r="L951" s="410"/>
    </row>
    <row r="952">
      <c r="L952" s="410"/>
    </row>
    <row r="953">
      <c r="L953" s="410"/>
    </row>
    <row r="954">
      <c r="L954" s="410"/>
    </row>
    <row r="955">
      <c r="L955" s="410"/>
    </row>
    <row r="956">
      <c r="L956" s="410"/>
    </row>
    <row r="957">
      <c r="L957" s="410"/>
    </row>
    <row r="958">
      <c r="L958" s="410"/>
    </row>
    <row r="959">
      <c r="L959" s="410"/>
    </row>
    <row r="960">
      <c r="L960" s="410"/>
    </row>
    <row r="961">
      <c r="L961" s="410"/>
    </row>
    <row r="962">
      <c r="L962" s="410"/>
    </row>
    <row r="963">
      <c r="L963" s="410"/>
    </row>
    <row r="964">
      <c r="L964" s="410"/>
    </row>
    <row r="965">
      <c r="L965" s="410"/>
    </row>
    <row r="966">
      <c r="L966" s="410"/>
    </row>
    <row r="967">
      <c r="L967" s="410"/>
    </row>
    <row r="968">
      <c r="L968" s="410"/>
    </row>
    <row r="969">
      <c r="L969" s="410"/>
    </row>
    <row r="970">
      <c r="L970" s="410"/>
    </row>
    <row r="971">
      <c r="L971" s="410"/>
    </row>
    <row r="972">
      <c r="L972" s="410"/>
    </row>
    <row r="973">
      <c r="L973" s="410"/>
    </row>
    <row r="974">
      <c r="L974" s="410"/>
    </row>
    <row r="975">
      <c r="L975" s="410"/>
    </row>
    <row r="976">
      <c r="L976" s="410"/>
    </row>
    <row r="977">
      <c r="L977" s="410"/>
    </row>
    <row r="978">
      <c r="L978" s="410"/>
    </row>
    <row r="979">
      <c r="L979" s="410"/>
    </row>
    <row r="980">
      <c r="L980" s="410"/>
    </row>
    <row r="981">
      <c r="L981" s="410"/>
    </row>
    <row r="982">
      <c r="L982" s="410"/>
    </row>
    <row r="983">
      <c r="L983" s="410"/>
    </row>
    <row r="984">
      <c r="L984" s="410"/>
    </row>
    <row r="985">
      <c r="L985" s="410"/>
    </row>
    <row r="986">
      <c r="L986" s="410"/>
    </row>
    <row r="987">
      <c r="L987" s="410"/>
    </row>
    <row r="988">
      <c r="L988" s="410"/>
    </row>
    <row r="989">
      <c r="L989" s="410"/>
    </row>
    <row r="990">
      <c r="L990" s="410"/>
    </row>
    <row r="991">
      <c r="L991" s="410"/>
    </row>
    <row r="992">
      <c r="L992" s="410"/>
    </row>
    <row r="993">
      <c r="L993" s="410"/>
    </row>
    <row r="994">
      <c r="L994" s="410"/>
    </row>
    <row r="995">
      <c r="L995" s="410"/>
    </row>
    <row r="996">
      <c r="L996" s="410"/>
    </row>
    <row r="997">
      <c r="L997" s="410"/>
    </row>
    <row r="998">
      <c r="L998" s="410"/>
    </row>
    <row r="999">
      <c r="L999" s="410"/>
    </row>
    <row r="1000">
      <c r="L1000" s="410"/>
    </row>
    <row r="1001">
      <c r="L1001" s="410"/>
    </row>
    <row r="1002">
      <c r="L1002" s="410"/>
    </row>
    <row r="1003">
      <c r="L1003" s="410"/>
    </row>
    <row r="1004">
      <c r="L1004" s="410"/>
    </row>
    <row r="1005">
      <c r="L1005" s="410"/>
    </row>
    <row r="1006">
      <c r="L1006" s="410"/>
    </row>
    <row r="1007">
      <c r="L1007" s="410"/>
    </row>
    <row r="1008">
      <c r="L1008" s="410"/>
    </row>
    <row r="1009">
      <c r="L1009" s="410"/>
    </row>
    <row r="1010">
      <c r="L1010" s="410"/>
    </row>
    <row r="1011">
      <c r="L1011" s="410"/>
    </row>
    <row r="1012">
      <c r="L1012" s="410"/>
    </row>
    <row r="1013">
      <c r="L1013" s="410"/>
    </row>
    <row r="1014">
      <c r="L1014" s="410"/>
    </row>
    <row r="1015">
      <c r="L1015" s="410"/>
    </row>
    <row r="1016">
      <c r="L1016" s="410"/>
    </row>
    <row r="1017">
      <c r="L1017" s="410"/>
    </row>
    <row r="1018">
      <c r="L1018" s="410"/>
    </row>
    <row r="1019">
      <c r="L1019" s="410"/>
    </row>
    <row r="1020">
      <c r="L1020" s="410"/>
    </row>
    <row r="1021">
      <c r="L1021" s="410"/>
    </row>
  </sheetData>
  <autoFilter ref="$A$3:$AE$34"/>
  <mergeCells count="46">
    <mergeCell ref="K6:K7"/>
    <mergeCell ref="L6:L7"/>
    <mergeCell ref="D2:N2"/>
    <mergeCell ref="B6:B7"/>
    <mergeCell ref="D6:D7"/>
    <mergeCell ref="E6:E7"/>
    <mergeCell ref="F6:F7"/>
    <mergeCell ref="G6:G7"/>
    <mergeCell ref="H6:H7"/>
    <mergeCell ref="H15:H16"/>
    <mergeCell ref="I15:I16"/>
    <mergeCell ref="K15:K16"/>
    <mergeCell ref="L15:L16"/>
    <mergeCell ref="N15:N16"/>
    <mergeCell ref="I6:I7"/>
    <mergeCell ref="J6:J7"/>
    <mergeCell ref="D15:D16"/>
    <mergeCell ref="E15:E16"/>
    <mergeCell ref="F15:F16"/>
    <mergeCell ref="G15:G16"/>
    <mergeCell ref="J15:J16"/>
    <mergeCell ref="H18:H19"/>
    <mergeCell ref="I18:I19"/>
    <mergeCell ref="J18:J19"/>
    <mergeCell ref="K18:K19"/>
    <mergeCell ref="L18:L19"/>
    <mergeCell ref="N18:N19"/>
    <mergeCell ref="B15:B16"/>
    <mergeCell ref="B18:B19"/>
    <mergeCell ref="C18:C19"/>
    <mergeCell ref="D18:D19"/>
    <mergeCell ref="E18:E19"/>
    <mergeCell ref="F18:F19"/>
    <mergeCell ref="G18:G19"/>
    <mergeCell ref="I26:I27"/>
    <mergeCell ref="J26:J27"/>
    <mergeCell ref="K26:K27"/>
    <mergeCell ref="L26:L27"/>
    <mergeCell ref="M26:M27"/>
    <mergeCell ref="A26:A27"/>
    <mergeCell ref="B26:B27"/>
    <mergeCell ref="D26:D27"/>
    <mergeCell ref="E26:E27"/>
    <mergeCell ref="F26:F27"/>
    <mergeCell ref="G26:G27"/>
    <mergeCell ref="H26:H27"/>
  </mergeCells>
  <hyperlinks>
    <hyperlink r:id="rId1" ref="B1"/>
    <hyperlink r:id="rId2" ref="B2"/>
    <hyperlink r:id="rId3" location="slide=id.gf32bf9945b_0_954" ref="M5"/>
    <hyperlink r:id="rId4" ref="M6"/>
    <hyperlink r:id="rId5" location="slide=id.gd0fbd4c1e7_3_214" ref="M7"/>
    <hyperlink r:id="rId6" location="gid=644099024" ref="M8"/>
    <hyperlink r:id="rId7" ref="M9"/>
    <hyperlink r:id="rId8" ref="M10"/>
    <hyperlink r:id="rId9" ref="N10"/>
    <hyperlink r:id="rId10" ref="M11"/>
    <hyperlink r:id="rId11" location="Trafficking101-Youtube" ref="M14"/>
    <hyperlink r:id="rId12" ref="N14"/>
    <hyperlink r:id="rId13" location="gid=2144868993" ref="M15"/>
    <hyperlink r:id="rId14" ref="M16"/>
    <hyperlink r:id="rId15" location="PlatformConversionPixelGeneration-AdOperations" ref="M18"/>
    <hyperlink r:id="rId16" location="slide=id.gd0b4d203b3_0_21" ref="M19"/>
    <hyperlink r:id="rId17" ref="M20"/>
    <hyperlink r:id="rId18" ref="N21"/>
    <hyperlink r:id="rId19" location="gid=1399114443" ref="M22"/>
    <hyperlink r:id="rId20" ref="L24"/>
    <hyperlink r:id="rId21" ref="M24"/>
    <hyperlink r:id="rId22" ref="M25"/>
    <hyperlink r:id="rId23" ref="N25"/>
    <hyperlink r:id="rId24" ref="M26"/>
    <hyperlink r:id="rId25" ref="N26"/>
    <hyperlink r:id="rId26" ref="N27"/>
    <hyperlink r:id="rId27" ref="M28"/>
    <hyperlink r:id="rId28" ref="N28"/>
  </hyperlinks>
  <drawing r:id="rId29"/>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9.63"/>
    <col customWidth="1" min="3" max="3" width="22.13"/>
    <col customWidth="1" min="4" max="4" width="59.75"/>
    <col customWidth="1" min="5" max="5" width="14.38"/>
    <col customWidth="1" min="6" max="6" width="72.0"/>
  </cols>
  <sheetData>
    <row r="1">
      <c r="A1" s="301"/>
      <c r="B1" s="301"/>
      <c r="C1" s="301"/>
      <c r="D1" s="301"/>
      <c r="E1" s="301"/>
      <c r="F1" s="302"/>
      <c r="G1" s="302"/>
      <c r="H1" s="302"/>
      <c r="I1" s="302"/>
      <c r="J1" s="302"/>
      <c r="K1" s="302"/>
      <c r="L1" s="302"/>
      <c r="M1" s="302"/>
      <c r="N1" s="302"/>
      <c r="O1" s="302"/>
      <c r="P1" s="302"/>
      <c r="Q1" s="302"/>
      <c r="R1" s="302"/>
      <c r="S1" s="302"/>
      <c r="T1" s="302"/>
      <c r="U1" s="302"/>
      <c r="V1" s="302"/>
      <c r="W1" s="302"/>
      <c r="X1" s="302"/>
      <c r="Y1" s="302"/>
      <c r="Z1" s="302"/>
      <c r="AA1" s="302"/>
    </row>
    <row r="2">
      <c r="A2" s="301"/>
      <c r="B2" s="303" t="s">
        <v>831</v>
      </c>
      <c r="C2" s="160"/>
      <c r="D2" s="160"/>
      <c r="E2" s="160"/>
      <c r="F2" s="161"/>
      <c r="G2" s="302"/>
      <c r="H2" s="302"/>
      <c r="I2" s="302"/>
      <c r="J2" s="302"/>
      <c r="K2" s="302"/>
      <c r="L2" s="302"/>
      <c r="M2" s="302"/>
      <c r="N2" s="302"/>
      <c r="O2" s="302"/>
      <c r="P2" s="302"/>
      <c r="Q2" s="302"/>
      <c r="R2" s="302"/>
      <c r="S2" s="302"/>
      <c r="T2" s="302"/>
      <c r="U2" s="302"/>
      <c r="V2" s="302"/>
      <c r="W2" s="302"/>
      <c r="X2" s="302"/>
      <c r="Y2" s="302"/>
      <c r="Z2" s="302"/>
      <c r="AA2" s="302"/>
    </row>
    <row r="3">
      <c r="A3" s="305"/>
      <c r="B3" s="611" t="s">
        <v>157</v>
      </c>
      <c r="C3" s="611" t="s">
        <v>158</v>
      </c>
      <c r="D3" s="611" t="s">
        <v>159</v>
      </c>
      <c r="E3" s="611" t="s">
        <v>515</v>
      </c>
      <c r="F3" s="611" t="s">
        <v>160</v>
      </c>
      <c r="G3" s="302"/>
      <c r="H3" s="302"/>
      <c r="I3" s="302"/>
      <c r="J3" s="302"/>
      <c r="K3" s="302"/>
      <c r="L3" s="302"/>
      <c r="M3" s="302"/>
      <c r="N3" s="302"/>
      <c r="O3" s="302"/>
      <c r="P3" s="302"/>
      <c r="Q3" s="302"/>
      <c r="R3" s="302"/>
      <c r="S3" s="302"/>
      <c r="T3" s="302"/>
      <c r="U3" s="302"/>
      <c r="V3" s="302"/>
      <c r="W3" s="302"/>
      <c r="X3" s="302"/>
      <c r="Y3" s="302"/>
      <c r="Z3" s="302"/>
      <c r="AA3" s="302"/>
    </row>
    <row r="4">
      <c r="A4" s="222"/>
      <c r="B4" s="612" t="s">
        <v>187</v>
      </c>
      <c r="C4" s="309" t="s">
        <v>31</v>
      </c>
      <c r="D4" s="310" t="s">
        <v>518</v>
      </c>
      <c r="E4" s="311" t="s">
        <v>181</v>
      </c>
      <c r="F4" s="311"/>
    </row>
    <row r="5">
      <c r="A5" s="222"/>
      <c r="B5" s="313" t="s">
        <v>519</v>
      </c>
      <c r="C5" s="314" t="s">
        <v>192</v>
      </c>
      <c r="D5" s="315" t="s">
        <v>190</v>
      </c>
      <c r="E5" s="316" t="s">
        <v>181</v>
      </c>
      <c r="F5" s="613" t="s">
        <v>832</v>
      </c>
    </row>
    <row r="6">
      <c r="A6" s="222"/>
      <c r="B6" s="318" t="s">
        <v>520</v>
      </c>
      <c r="C6" s="319" t="s">
        <v>192</v>
      </c>
      <c r="D6" s="320" t="s">
        <v>521</v>
      </c>
      <c r="E6" s="321" t="s">
        <v>181</v>
      </c>
      <c r="F6" s="321"/>
    </row>
    <row r="7">
      <c r="A7" s="222"/>
      <c r="B7" s="313" t="s">
        <v>522</v>
      </c>
      <c r="C7" s="314" t="s">
        <v>192</v>
      </c>
      <c r="D7" s="323" t="s">
        <v>523</v>
      </c>
      <c r="E7" s="316" t="s">
        <v>181</v>
      </c>
      <c r="F7" s="316" t="s">
        <v>833</v>
      </c>
    </row>
    <row r="8">
      <c r="A8" s="222"/>
      <c r="B8" s="318" t="s">
        <v>524</v>
      </c>
      <c r="C8" s="319" t="s">
        <v>19</v>
      </c>
      <c r="D8" s="322" t="s">
        <v>525</v>
      </c>
      <c r="E8" s="321" t="s">
        <v>181</v>
      </c>
      <c r="F8" s="614" t="s">
        <v>834</v>
      </c>
    </row>
    <row r="9">
      <c r="A9" s="222"/>
      <c r="B9" s="313" t="s">
        <v>199</v>
      </c>
      <c r="C9" s="314" t="s">
        <v>19</v>
      </c>
      <c r="D9" s="323" t="s">
        <v>835</v>
      </c>
      <c r="E9" s="316" t="s">
        <v>181</v>
      </c>
      <c r="F9" s="613" t="s">
        <v>834</v>
      </c>
    </row>
    <row r="10">
      <c r="A10" s="222"/>
      <c r="B10" s="318" t="s">
        <v>527</v>
      </c>
      <c r="C10" s="319" t="s">
        <v>192</v>
      </c>
      <c r="D10" s="321" t="s">
        <v>528</v>
      </c>
      <c r="E10" s="321" t="s">
        <v>181</v>
      </c>
      <c r="F10" s="321" t="s">
        <v>836</v>
      </c>
    </row>
    <row r="11">
      <c r="A11" s="222"/>
      <c r="B11" s="313" t="s">
        <v>203</v>
      </c>
      <c r="C11" s="314" t="s">
        <v>192</v>
      </c>
      <c r="D11" s="316" t="s">
        <v>529</v>
      </c>
      <c r="E11" s="316" t="s">
        <v>181</v>
      </c>
      <c r="F11" s="316"/>
    </row>
    <row r="12">
      <c r="A12" s="222"/>
      <c r="B12" s="318" t="s">
        <v>205</v>
      </c>
      <c r="C12" s="319" t="s">
        <v>192</v>
      </c>
      <c r="D12" s="322" t="s">
        <v>530</v>
      </c>
      <c r="E12" s="321" t="s">
        <v>181</v>
      </c>
      <c r="F12" s="614" t="s">
        <v>834</v>
      </c>
    </row>
    <row r="13">
      <c r="A13" s="222"/>
      <c r="B13" s="313" t="s">
        <v>837</v>
      </c>
      <c r="C13" s="314" t="s">
        <v>192</v>
      </c>
      <c r="D13" s="315" t="s">
        <v>838</v>
      </c>
      <c r="E13" s="316" t="s">
        <v>164</v>
      </c>
      <c r="F13" s="613" t="s">
        <v>839</v>
      </c>
    </row>
    <row r="14">
      <c r="A14" s="222"/>
      <c r="B14" s="318" t="s">
        <v>215</v>
      </c>
      <c r="C14" s="319" t="s">
        <v>183</v>
      </c>
      <c r="D14" s="320" t="s">
        <v>840</v>
      </c>
      <c r="E14" s="321" t="s">
        <v>181</v>
      </c>
      <c r="F14" s="321"/>
    </row>
    <row r="15">
      <c r="A15" s="222"/>
      <c r="B15" s="313" t="s">
        <v>78</v>
      </c>
      <c r="C15" s="314" t="s">
        <v>183</v>
      </c>
      <c r="D15" s="315" t="s">
        <v>841</v>
      </c>
      <c r="E15" s="316" t="s">
        <v>181</v>
      </c>
      <c r="F15" s="316"/>
    </row>
    <row r="16">
      <c r="A16" s="222"/>
      <c r="B16" s="318" t="s">
        <v>21</v>
      </c>
      <c r="C16" s="319" t="s">
        <v>19</v>
      </c>
      <c r="D16" s="322" t="s">
        <v>219</v>
      </c>
      <c r="E16" s="321" t="s">
        <v>181</v>
      </c>
      <c r="F16" s="321"/>
    </row>
    <row r="17">
      <c r="A17" s="222"/>
      <c r="B17" s="313" t="s">
        <v>220</v>
      </c>
      <c r="C17" s="314" t="s">
        <v>183</v>
      </c>
      <c r="D17" s="323" t="s">
        <v>536</v>
      </c>
      <c r="E17" s="316" t="s">
        <v>171</v>
      </c>
      <c r="F17" s="316"/>
    </row>
    <row r="18">
      <c r="A18" s="222"/>
      <c r="B18" s="615" t="s">
        <v>222</v>
      </c>
      <c r="C18" s="616" t="s">
        <v>183</v>
      </c>
      <c r="D18" s="617" t="s">
        <v>536</v>
      </c>
      <c r="E18" s="618" t="s">
        <v>171</v>
      </c>
      <c r="F18" s="618"/>
    </row>
    <row r="20">
      <c r="A20" s="222"/>
      <c r="B20" s="222" t="s">
        <v>256</v>
      </c>
      <c r="C20" s="222" t="s">
        <v>192</v>
      </c>
      <c r="D20" s="330" t="s">
        <v>842</v>
      </c>
    </row>
  </sheetData>
  <mergeCells count="1">
    <mergeCell ref="B2:F2"/>
  </mergeCells>
  <dataValidations>
    <dataValidation type="list" allowBlank="1" showErrorMessage="1" sqref="E4:E18">
      <formula1>"Backlog,In Progress,Blocked,Completed"</formula1>
    </dataValidation>
  </dataValidations>
  <hyperlinks>
    <hyperlink r:id="rId1" ref="D4"/>
    <hyperlink r:id="rId2" ref="D5"/>
    <hyperlink r:id="rId3" ref="F5"/>
    <hyperlink r:id="rId4" ref="D6"/>
    <hyperlink r:id="rId5" ref="F8"/>
    <hyperlink r:id="rId6" ref="F9"/>
    <hyperlink r:id="rId7" ref="F12"/>
    <hyperlink r:id="rId8" ref="D13"/>
    <hyperlink r:id="rId9" ref="F13"/>
    <hyperlink r:id="rId10" ref="D14"/>
    <hyperlink r:id="rId11" ref="D15"/>
    <hyperlink r:id="rId12" ref="D20"/>
  </hyperlinks>
  <drawing r:id="rId1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4.13"/>
    <col customWidth="1" min="2" max="2" width="56.25"/>
    <col customWidth="1" min="3" max="3" width="5.75"/>
    <col customWidth="1" min="4" max="4" width="17.75"/>
    <col customWidth="1" min="10" max="10" width="39.13"/>
    <col customWidth="1" min="12" max="12" width="57.0"/>
    <col customWidth="1" min="13" max="13" width="31.38"/>
    <col customWidth="1" min="14" max="14" width="58.38"/>
  </cols>
  <sheetData>
    <row r="1">
      <c r="A1" s="305"/>
      <c r="B1" s="545" t="s">
        <v>575</v>
      </c>
      <c r="D1" s="305"/>
      <c r="E1" s="305"/>
      <c r="F1" s="305"/>
      <c r="G1" s="305"/>
      <c r="H1" s="305"/>
      <c r="I1" s="305"/>
      <c r="J1" s="305"/>
      <c r="K1" s="305"/>
      <c r="L1" s="331"/>
      <c r="M1" s="305"/>
      <c r="N1" s="305"/>
      <c r="O1" s="302"/>
      <c r="P1" s="302"/>
      <c r="Q1" s="302"/>
      <c r="R1" s="302"/>
      <c r="S1" s="302"/>
      <c r="T1" s="302"/>
      <c r="U1" s="302"/>
      <c r="V1" s="302"/>
      <c r="W1" s="302"/>
      <c r="X1" s="302"/>
      <c r="Y1" s="302"/>
      <c r="Z1" s="302"/>
      <c r="AA1" s="302"/>
      <c r="AB1" s="302"/>
      <c r="AC1" s="302"/>
      <c r="AD1" s="302"/>
      <c r="AE1" s="302"/>
    </row>
    <row r="2">
      <c r="A2" s="305"/>
      <c r="B2" s="546" t="s">
        <v>843</v>
      </c>
      <c r="C2" s="547" t="s">
        <v>844</v>
      </c>
      <c r="D2" s="548"/>
      <c r="E2" s="548"/>
      <c r="F2" s="548"/>
      <c r="G2" s="548"/>
      <c r="H2" s="548"/>
      <c r="I2" s="548"/>
      <c r="J2" s="548"/>
      <c r="K2" s="548"/>
      <c r="L2" s="548"/>
      <c r="M2" s="548"/>
      <c r="N2" s="549"/>
      <c r="O2" s="302"/>
      <c r="P2" s="302"/>
      <c r="Q2" s="302"/>
      <c r="R2" s="302"/>
      <c r="S2" s="302"/>
      <c r="T2" s="302"/>
      <c r="U2" s="302"/>
      <c r="V2" s="302"/>
      <c r="W2" s="302"/>
      <c r="X2" s="302"/>
      <c r="Y2" s="302"/>
      <c r="Z2" s="302"/>
      <c r="AA2" s="302"/>
      <c r="AB2" s="302"/>
      <c r="AC2" s="302"/>
      <c r="AD2" s="302"/>
      <c r="AE2" s="302"/>
    </row>
    <row r="3">
      <c r="A3" s="305"/>
      <c r="B3" s="550" t="s">
        <v>3</v>
      </c>
      <c r="C3" s="551" t="s">
        <v>5</v>
      </c>
      <c r="D3" s="551" t="s">
        <v>845</v>
      </c>
      <c r="E3" s="551" t="s">
        <v>6</v>
      </c>
      <c r="F3" s="551" t="s">
        <v>7</v>
      </c>
      <c r="G3" s="551" t="s">
        <v>8</v>
      </c>
      <c r="H3" s="551" t="s">
        <v>9</v>
      </c>
      <c r="I3" s="551" t="s">
        <v>10</v>
      </c>
      <c r="J3" s="551" t="s">
        <v>11</v>
      </c>
      <c r="K3" s="551" t="s">
        <v>12</v>
      </c>
      <c r="L3" s="552" t="s">
        <v>13</v>
      </c>
      <c r="M3" s="551" t="s">
        <v>14</v>
      </c>
      <c r="N3" s="553" t="s">
        <v>15</v>
      </c>
      <c r="O3" s="302"/>
      <c r="P3" s="302"/>
      <c r="Q3" s="302"/>
      <c r="R3" s="302"/>
      <c r="S3" s="302"/>
      <c r="T3" s="302"/>
      <c r="U3" s="302"/>
      <c r="V3" s="302"/>
      <c r="W3" s="302"/>
      <c r="X3" s="302"/>
      <c r="Y3" s="302"/>
      <c r="Z3" s="302"/>
      <c r="AA3" s="302"/>
      <c r="AB3" s="302"/>
      <c r="AC3" s="302"/>
      <c r="AD3" s="302"/>
      <c r="AE3" s="302"/>
    </row>
    <row r="4" ht="75.0" customHeight="1">
      <c r="A4" s="222"/>
      <c r="B4" s="619" t="s">
        <v>542</v>
      </c>
      <c r="C4" s="555">
        <v>1.0</v>
      </c>
      <c r="D4" s="555" t="b">
        <v>1</v>
      </c>
      <c r="E4" s="555" t="s">
        <v>556</v>
      </c>
      <c r="F4" s="556">
        <v>45315.0</v>
      </c>
      <c r="G4" s="555" t="s">
        <v>39</v>
      </c>
      <c r="H4" s="557">
        <v>0.5</v>
      </c>
      <c r="I4" s="557">
        <v>0.5416666666666666</v>
      </c>
      <c r="J4" s="555" t="s">
        <v>545</v>
      </c>
      <c r="K4" s="555" t="s">
        <v>107</v>
      </c>
      <c r="L4" s="559" t="s">
        <v>846</v>
      </c>
      <c r="M4" s="555" t="s">
        <v>21</v>
      </c>
      <c r="N4" s="560" t="s">
        <v>22</v>
      </c>
    </row>
    <row r="5" ht="75.0" customHeight="1">
      <c r="A5" s="222"/>
      <c r="B5" s="620" t="s">
        <v>24</v>
      </c>
      <c r="C5" s="621">
        <v>1.0</v>
      </c>
      <c r="D5" s="562" t="b">
        <v>1</v>
      </c>
      <c r="E5" s="562" t="s">
        <v>557</v>
      </c>
      <c r="F5" s="563">
        <v>45316.0</v>
      </c>
      <c r="G5" s="562" t="s">
        <v>18</v>
      </c>
      <c r="H5" s="564">
        <v>0.5</v>
      </c>
      <c r="I5" s="564">
        <v>0.5208333333333334</v>
      </c>
      <c r="J5" s="562" t="s">
        <v>545</v>
      </c>
      <c r="K5" s="562" t="s">
        <v>107</v>
      </c>
      <c r="L5" s="565" t="s">
        <v>25</v>
      </c>
      <c r="M5" s="566" t="s">
        <v>26</v>
      </c>
      <c r="N5" s="567" t="s">
        <v>22</v>
      </c>
    </row>
    <row r="6" ht="37.5" customHeight="1">
      <c r="A6" s="222"/>
      <c r="B6" s="622" t="s">
        <v>27</v>
      </c>
      <c r="C6" s="575">
        <v>1.0</v>
      </c>
      <c r="D6" s="570" t="b">
        <v>1</v>
      </c>
      <c r="E6" s="570" t="s">
        <v>417</v>
      </c>
      <c r="F6" s="571">
        <v>45317.0</v>
      </c>
      <c r="G6" s="570" t="s">
        <v>18</v>
      </c>
      <c r="H6" s="572">
        <v>0.5</v>
      </c>
      <c r="I6" s="572">
        <v>0.5208333333333334</v>
      </c>
      <c r="J6" s="570" t="s">
        <v>112</v>
      </c>
      <c r="K6" s="570" t="s">
        <v>545</v>
      </c>
      <c r="L6" s="573" t="s">
        <v>28</v>
      </c>
      <c r="M6" s="574" t="s">
        <v>546</v>
      </c>
      <c r="N6" s="575" t="s">
        <v>22</v>
      </c>
    </row>
    <row r="7" ht="37.5" customHeight="1">
      <c r="A7" s="222"/>
      <c r="B7" s="576"/>
      <c r="C7" s="577"/>
      <c r="D7" s="577"/>
      <c r="E7" s="577"/>
      <c r="F7" s="577"/>
      <c r="G7" s="577"/>
      <c r="H7" s="577"/>
      <c r="I7" s="577"/>
      <c r="J7" s="577"/>
      <c r="K7" s="577"/>
      <c r="L7" s="577"/>
      <c r="M7" s="578" t="s">
        <v>547</v>
      </c>
      <c r="N7" s="575" t="s">
        <v>22</v>
      </c>
    </row>
    <row r="8" ht="75.0" customHeight="1">
      <c r="A8" s="222"/>
      <c r="B8" s="561" t="s">
        <v>30</v>
      </c>
      <c r="C8" s="562">
        <v>2.0</v>
      </c>
      <c r="D8" s="562" t="b">
        <v>1</v>
      </c>
      <c r="E8" s="562" t="s">
        <v>556</v>
      </c>
      <c r="F8" s="563">
        <v>45329.0</v>
      </c>
      <c r="G8" s="562" t="s">
        <v>18</v>
      </c>
      <c r="H8" s="564">
        <v>0.5208333333333334</v>
      </c>
      <c r="I8" s="564">
        <v>0.5208333333333334</v>
      </c>
      <c r="J8" s="562" t="s">
        <v>847</v>
      </c>
      <c r="K8" s="562" t="s">
        <v>22</v>
      </c>
      <c r="L8" s="565" t="s">
        <v>550</v>
      </c>
      <c r="M8" s="579" t="s">
        <v>551</v>
      </c>
      <c r="N8" s="567" t="s">
        <v>22</v>
      </c>
    </row>
    <row r="9" ht="75.0" customHeight="1">
      <c r="A9" s="222"/>
      <c r="B9" s="580" t="s">
        <v>34</v>
      </c>
      <c r="C9" s="569">
        <v>2.0</v>
      </c>
      <c r="D9" s="569" t="b">
        <v>1</v>
      </c>
      <c r="E9" s="569" t="s">
        <v>548</v>
      </c>
      <c r="F9" s="581">
        <v>45321.0</v>
      </c>
      <c r="G9" s="569" t="s">
        <v>18</v>
      </c>
      <c r="H9" s="582">
        <v>0.5</v>
      </c>
      <c r="I9" s="582">
        <v>0.5208333333333334</v>
      </c>
      <c r="J9" s="569" t="s">
        <v>848</v>
      </c>
      <c r="K9" s="569" t="s">
        <v>849</v>
      </c>
      <c r="L9" s="583" t="s">
        <v>553</v>
      </c>
      <c r="M9" s="584" t="s">
        <v>36</v>
      </c>
      <c r="N9" s="585" t="s">
        <v>22</v>
      </c>
    </row>
    <row r="10" ht="75.0" customHeight="1">
      <c r="A10" s="222"/>
      <c r="B10" s="561" t="s">
        <v>38</v>
      </c>
      <c r="C10" s="562">
        <v>2.0</v>
      </c>
      <c r="D10" s="562" t="b">
        <v>1</v>
      </c>
      <c r="E10" s="562" t="s">
        <v>548</v>
      </c>
      <c r="F10" s="563">
        <v>45321.0</v>
      </c>
      <c r="G10" s="562" t="s">
        <v>39</v>
      </c>
      <c r="H10" s="564">
        <v>0.5625</v>
      </c>
      <c r="I10" s="564">
        <v>0.5416666666666666</v>
      </c>
      <c r="J10" s="562" t="s">
        <v>848</v>
      </c>
      <c r="K10" s="562" t="s">
        <v>107</v>
      </c>
      <c r="L10" s="565" t="s">
        <v>40</v>
      </c>
      <c r="M10" s="566" t="s">
        <v>41</v>
      </c>
      <c r="N10" s="586" t="s">
        <v>42</v>
      </c>
    </row>
    <row r="11" ht="75.0" customHeight="1">
      <c r="A11" s="222"/>
      <c r="B11" s="580" t="s">
        <v>43</v>
      </c>
      <c r="C11" s="569">
        <v>2.0</v>
      </c>
      <c r="D11" s="569" t="b">
        <v>1</v>
      </c>
      <c r="E11" s="569" t="s">
        <v>556</v>
      </c>
      <c r="F11" s="581">
        <v>45322.0</v>
      </c>
      <c r="G11" s="569" t="s">
        <v>18</v>
      </c>
      <c r="H11" s="582">
        <v>0.5</v>
      </c>
      <c r="I11" s="582">
        <v>0.5208333333333334</v>
      </c>
      <c r="J11" s="569" t="s">
        <v>118</v>
      </c>
      <c r="K11" s="569" t="s">
        <v>22</v>
      </c>
      <c r="L11" s="583" t="s">
        <v>44</v>
      </c>
      <c r="M11" s="584" t="s">
        <v>555</v>
      </c>
      <c r="N11" s="585" t="s">
        <v>22</v>
      </c>
    </row>
    <row r="12" ht="75.0" customHeight="1">
      <c r="A12" s="222"/>
      <c r="B12" s="561" t="s">
        <v>46</v>
      </c>
      <c r="C12" s="562">
        <v>2.0</v>
      </c>
      <c r="D12" s="562" t="b">
        <v>1</v>
      </c>
      <c r="E12" s="562" t="s">
        <v>556</v>
      </c>
      <c r="F12" s="563">
        <v>45322.0</v>
      </c>
      <c r="G12" s="562" t="s">
        <v>18</v>
      </c>
      <c r="H12" s="564">
        <v>0.5208333333333334</v>
      </c>
      <c r="I12" s="564">
        <v>0.5416666666666666</v>
      </c>
      <c r="J12" s="562" t="s">
        <v>119</v>
      </c>
      <c r="K12" s="562" t="s">
        <v>22</v>
      </c>
      <c r="L12" s="565" t="s">
        <v>47</v>
      </c>
      <c r="M12" s="562" t="s">
        <v>22</v>
      </c>
      <c r="N12" s="567" t="s">
        <v>22</v>
      </c>
    </row>
    <row r="13" ht="75.0" customHeight="1">
      <c r="A13" s="222"/>
      <c r="B13" s="580" t="s">
        <v>820</v>
      </c>
      <c r="C13" s="569">
        <v>3.0</v>
      </c>
      <c r="D13" s="569" t="b">
        <v>1</v>
      </c>
      <c r="E13" s="569" t="s">
        <v>548</v>
      </c>
      <c r="F13" s="581">
        <v>45328.0</v>
      </c>
      <c r="G13" s="569" t="s">
        <v>39</v>
      </c>
      <c r="H13" s="582">
        <v>0.5</v>
      </c>
      <c r="I13" s="582">
        <v>0.5416666666666666</v>
      </c>
      <c r="J13" s="569" t="s">
        <v>848</v>
      </c>
      <c r="K13" s="569" t="s">
        <v>850</v>
      </c>
      <c r="L13" s="583" t="s">
        <v>49</v>
      </c>
      <c r="M13" s="569" t="s">
        <v>22</v>
      </c>
      <c r="N13" s="585" t="s">
        <v>22</v>
      </c>
    </row>
    <row r="14" ht="75.0" customHeight="1">
      <c r="A14" s="222"/>
      <c r="B14" s="561" t="s">
        <v>51</v>
      </c>
      <c r="C14" s="562">
        <v>3.0</v>
      </c>
      <c r="D14" s="562" t="b">
        <v>1</v>
      </c>
      <c r="E14" s="562" t="s">
        <v>556</v>
      </c>
      <c r="F14" s="563">
        <v>45329.0</v>
      </c>
      <c r="G14" s="562" t="s">
        <v>18</v>
      </c>
      <c r="H14" s="564">
        <v>0.5</v>
      </c>
      <c r="I14" s="564">
        <v>0.5208333333333334</v>
      </c>
      <c r="J14" s="562" t="s">
        <v>112</v>
      </c>
      <c r="K14" s="562" t="s">
        <v>851</v>
      </c>
      <c r="L14" s="565" t="s">
        <v>52</v>
      </c>
      <c r="M14" s="589" t="s">
        <v>678</v>
      </c>
      <c r="N14" s="586" t="s">
        <v>42</v>
      </c>
    </row>
    <row r="15" ht="37.5" customHeight="1">
      <c r="A15" s="222"/>
      <c r="B15" s="568" t="s">
        <v>54</v>
      </c>
      <c r="C15" s="570">
        <v>3.0</v>
      </c>
      <c r="D15" s="570" t="b">
        <v>1</v>
      </c>
      <c r="E15" s="570" t="s">
        <v>556</v>
      </c>
      <c r="F15" s="571">
        <v>45329.0</v>
      </c>
      <c r="G15" s="570" t="s">
        <v>18</v>
      </c>
      <c r="H15" s="572">
        <v>0.5416666666666666</v>
      </c>
      <c r="I15" s="572">
        <v>0.5625</v>
      </c>
      <c r="J15" s="570" t="s">
        <v>107</v>
      </c>
      <c r="K15" s="570" t="s">
        <v>545</v>
      </c>
      <c r="L15" s="573" t="s">
        <v>55</v>
      </c>
      <c r="M15" s="590" t="s">
        <v>560</v>
      </c>
      <c r="N15" s="591" t="s">
        <v>57</v>
      </c>
    </row>
    <row r="16" ht="37.5" customHeight="1">
      <c r="A16" s="222"/>
      <c r="B16" s="576"/>
      <c r="C16" s="577"/>
      <c r="D16" s="577"/>
      <c r="E16" s="577"/>
      <c r="F16" s="577"/>
      <c r="G16" s="577"/>
      <c r="H16" s="577"/>
      <c r="I16" s="577"/>
      <c r="J16" s="577"/>
      <c r="K16" s="577"/>
      <c r="L16" s="577"/>
      <c r="M16" s="592" t="s">
        <v>561</v>
      </c>
      <c r="N16" s="593"/>
    </row>
    <row r="17" ht="75.0" customHeight="1">
      <c r="A17" s="222"/>
      <c r="B17" s="561" t="s">
        <v>823</v>
      </c>
      <c r="C17" s="562">
        <v>3.0</v>
      </c>
      <c r="D17" s="562" t="b">
        <v>1</v>
      </c>
      <c r="E17" s="562" t="s">
        <v>557</v>
      </c>
      <c r="F17" s="563">
        <v>45330.0</v>
      </c>
      <c r="G17" s="562" t="s">
        <v>18</v>
      </c>
      <c r="H17" s="564">
        <v>0.4791666666666667</v>
      </c>
      <c r="I17" s="564">
        <v>0.5</v>
      </c>
      <c r="J17" s="562" t="s">
        <v>107</v>
      </c>
      <c r="K17" s="562" t="s">
        <v>545</v>
      </c>
      <c r="L17" s="565" t="s">
        <v>59</v>
      </c>
      <c r="M17" s="594" t="s">
        <v>22</v>
      </c>
      <c r="N17" s="567" t="s">
        <v>22</v>
      </c>
    </row>
    <row r="18" ht="37.5" customHeight="1">
      <c r="A18" s="222"/>
      <c r="B18" s="568" t="s">
        <v>60</v>
      </c>
      <c r="C18" s="570">
        <v>4.0</v>
      </c>
      <c r="D18" s="570" t="b">
        <v>1</v>
      </c>
      <c r="E18" s="570" t="s">
        <v>803</v>
      </c>
      <c r="F18" s="571">
        <v>45334.0</v>
      </c>
      <c r="G18" s="570" t="s">
        <v>18</v>
      </c>
      <c r="H18" s="572">
        <v>0.5</v>
      </c>
      <c r="I18" s="572">
        <v>0.5208333333333334</v>
      </c>
      <c r="J18" s="570" t="s">
        <v>852</v>
      </c>
      <c r="K18" s="570" t="s">
        <v>562</v>
      </c>
      <c r="L18" s="573" t="s">
        <v>61</v>
      </c>
      <c r="M18" s="595" t="s">
        <v>563</v>
      </c>
      <c r="N18" s="591" t="s">
        <v>22</v>
      </c>
    </row>
    <row r="19" ht="37.5" customHeight="1">
      <c r="A19" s="222"/>
      <c r="B19" s="576"/>
      <c r="C19" s="577"/>
      <c r="D19" s="577"/>
      <c r="E19" s="577"/>
      <c r="F19" s="577"/>
      <c r="G19" s="577"/>
      <c r="H19" s="577"/>
      <c r="I19" s="577"/>
      <c r="J19" s="577"/>
      <c r="K19" s="577"/>
      <c r="L19" s="577"/>
      <c r="M19" s="592" t="s">
        <v>564</v>
      </c>
      <c r="N19" s="593"/>
    </row>
    <row r="20" ht="75.0" customHeight="1">
      <c r="A20" s="222"/>
      <c r="B20" s="561" t="s">
        <v>63</v>
      </c>
      <c r="C20" s="562">
        <v>4.0</v>
      </c>
      <c r="D20" s="562" t="b">
        <v>1</v>
      </c>
      <c r="E20" s="562" t="s">
        <v>548</v>
      </c>
      <c r="F20" s="563">
        <v>45334.0</v>
      </c>
      <c r="G20" s="562" t="s">
        <v>18</v>
      </c>
      <c r="H20" s="564">
        <v>0.5208333333333334</v>
      </c>
      <c r="I20" s="564">
        <v>0.5208333333333334</v>
      </c>
      <c r="J20" s="562" t="s">
        <v>562</v>
      </c>
      <c r="K20" s="562" t="s">
        <v>853</v>
      </c>
      <c r="L20" s="565" t="s">
        <v>64</v>
      </c>
      <c r="M20" s="566" t="s">
        <v>824</v>
      </c>
      <c r="N20" s="222" t="s">
        <v>22</v>
      </c>
    </row>
    <row r="21" ht="75.0" customHeight="1">
      <c r="A21" s="222"/>
      <c r="B21" s="580" t="s">
        <v>67</v>
      </c>
      <c r="C21" s="569">
        <v>4.0</v>
      </c>
      <c r="D21" s="569" t="b">
        <v>1</v>
      </c>
      <c r="E21" s="569" t="s">
        <v>548</v>
      </c>
      <c r="F21" s="581">
        <v>45334.0</v>
      </c>
      <c r="G21" s="569" t="s">
        <v>68</v>
      </c>
      <c r="H21" s="582">
        <v>0.5416666666666666</v>
      </c>
      <c r="I21" s="582">
        <v>0.5520833333333334</v>
      </c>
      <c r="J21" s="569" t="s">
        <v>562</v>
      </c>
      <c r="K21" s="569" t="s">
        <v>853</v>
      </c>
      <c r="L21" s="583" t="s">
        <v>69</v>
      </c>
      <c r="M21" s="596"/>
      <c r="N21" s="597" t="s">
        <v>42</v>
      </c>
    </row>
    <row r="22" ht="75.0" customHeight="1">
      <c r="A22" s="222"/>
      <c r="B22" s="561" t="s">
        <v>71</v>
      </c>
      <c r="C22" s="562">
        <v>4.0</v>
      </c>
      <c r="D22" s="562" t="b">
        <v>1</v>
      </c>
      <c r="E22" s="562" t="s">
        <v>556</v>
      </c>
      <c r="F22" s="563">
        <v>45336.0</v>
      </c>
      <c r="G22" s="562" t="s">
        <v>18</v>
      </c>
      <c r="H22" s="564">
        <v>0.5</v>
      </c>
      <c r="I22" s="564">
        <v>0.5208333333333334</v>
      </c>
      <c r="J22" s="562" t="s">
        <v>545</v>
      </c>
      <c r="K22" s="562" t="s">
        <v>581</v>
      </c>
      <c r="L22" s="565" t="s">
        <v>72</v>
      </c>
      <c r="M22" s="566" t="s">
        <v>825</v>
      </c>
      <c r="N22" s="598" t="s">
        <v>22</v>
      </c>
    </row>
    <row r="23" ht="75.0" customHeight="1">
      <c r="A23" s="222"/>
      <c r="B23" s="580" t="s">
        <v>74</v>
      </c>
      <c r="C23" s="569">
        <v>4.0</v>
      </c>
      <c r="D23" s="569" t="b">
        <v>1</v>
      </c>
      <c r="E23" s="569" t="s">
        <v>557</v>
      </c>
      <c r="F23" s="581">
        <v>45337.0</v>
      </c>
      <c r="G23" s="569" t="s">
        <v>39</v>
      </c>
      <c r="H23" s="582">
        <v>0.5</v>
      </c>
      <c r="I23" s="582">
        <v>0.5416666666666666</v>
      </c>
      <c r="J23" s="569" t="s">
        <v>112</v>
      </c>
      <c r="K23" s="569" t="s">
        <v>126</v>
      </c>
      <c r="L23" s="569" t="s">
        <v>75</v>
      </c>
      <c r="M23" s="596" t="s">
        <v>22</v>
      </c>
      <c r="N23" s="599" t="s">
        <v>22</v>
      </c>
    </row>
    <row r="24" ht="75.0" customHeight="1">
      <c r="A24" s="222"/>
      <c r="B24" s="561" t="s">
        <v>76</v>
      </c>
      <c r="C24" s="562">
        <v>5.0</v>
      </c>
      <c r="D24" s="562" t="b">
        <v>1</v>
      </c>
      <c r="E24" s="562" t="s">
        <v>803</v>
      </c>
      <c r="F24" s="563">
        <v>45341.0</v>
      </c>
      <c r="G24" s="562" t="s">
        <v>18</v>
      </c>
      <c r="H24" s="564">
        <v>0.5</v>
      </c>
      <c r="I24" s="564">
        <v>0.5208333333333334</v>
      </c>
      <c r="J24" s="562" t="s">
        <v>110</v>
      </c>
      <c r="K24" s="562" t="s">
        <v>562</v>
      </c>
      <c r="L24" s="600" t="s">
        <v>854</v>
      </c>
      <c r="M24" s="566" t="s">
        <v>78</v>
      </c>
      <c r="N24" s="598" t="s">
        <v>22</v>
      </c>
    </row>
    <row r="25" ht="75.0" customHeight="1">
      <c r="A25" s="222"/>
      <c r="B25" s="580" t="s">
        <v>79</v>
      </c>
      <c r="C25" s="569">
        <v>5.0</v>
      </c>
      <c r="D25" s="569" t="b">
        <v>1</v>
      </c>
      <c r="E25" s="569" t="s">
        <v>548</v>
      </c>
      <c r="F25" s="581">
        <v>45342.0</v>
      </c>
      <c r="G25" s="569" t="s">
        <v>39</v>
      </c>
      <c r="H25" s="582">
        <v>0.5</v>
      </c>
      <c r="I25" s="582">
        <v>0.5416666666666666</v>
      </c>
      <c r="J25" s="569" t="s">
        <v>110</v>
      </c>
      <c r="K25" s="569" t="s">
        <v>107</v>
      </c>
      <c r="L25" s="583" t="s">
        <v>80</v>
      </c>
      <c r="M25" s="584" t="s">
        <v>81</v>
      </c>
      <c r="N25" s="597" t="s">
        <v>570</v>
      </c>
    </row>
    <row r="26" ht="37.5" customHeight="1">
      <c r="A26" s="222"/>
      <c r="B26" s="601" t="s">
        <v>571</v>
      </c>
      <c r="C26" s="602">
        <v>5.0</v>
      </c>
      <c r="D26" s="602" t="b">
        <v>1</v>
      </c>
      <c r="E26" s="602" t="s">
        <v>556</v>
      </c>
      <c r="F26" s="603">
        <v>45343.0</v>
      </c>
      <c r="G26" s="602" t="s">
        <v>39</v>
      </c>
      <c r="H26" s="604">
        <v>0.5</v>
      </c>
      <c r="I26" s="604">
        <v>0.5416666666666666</v>
      </c>
      <c r="J26" s="602" t="s">
        <v>107</v>
      </c>
      <c r="K26" s="602" t="s">
        <v>545</v>
      </c>
      <c r="L26" s="605" t="s">
        <v>84</v>
      </c>
      <c r="M26" s="589" t="s">
        <v>85</v>
      </c>
      <c r="N26" s="586" t="s">
        <v>572</v>
      </c>
    </row>
    <row r="27" ht="37.5" customHeight="1">
      <c r="B27" s="576"/>
      <c r="C27" s="577"/>
      <c r="D27" s="577"/>
      <c r="E27" s="577"/>
      <c r="F27" s="577"/>
      <c r="G27" s="577"/>
      <c r="H27" s="577"/>
      <c r="I27" s="577"/>
      <c r="J27" s="577"/>
      <c r="K27" s="577"/>
      <c r="L27" s="577"/>
      <c r="M27" s="577"/>
      <c r="N27" s="586" t="s">
        <v>573</v>
      </c>
    </row>
    <row r="28" ht="75.0" customHeight="1">
      <c r="A28" s="222"/>
      <c r="B28" s="580" t="s">
        <v>87</v>
      </c>
      <c r="C28" s="569">
        <v>5.0</v>
      </c>
      <c r="D28" s="569" t="b">
        <v>1</v>
      </c>
      <c r="E28" s="569" t="s">
        <v>557</v>
      </c>
      <c r="F28" s="581">
        <v>45344.0</v>
      </c>
      <c r="G28" s="569" t="s">
        <v>39</v>
      </c>
      <c r="H28" s="582">
        <v>0.5</v>
      </c>
      <c r="I28" s="582">
        <v>0.5416666666666666</v>
      </c>
      <c r="J28" s="569" t="s">
        <v>107</v>
      </c>
      <c r="K28" s="569" t="s">
        <v>112</v>
      </c>
      <c r="L28" s="583" t="s">
        <v>88</v>
      </c>
      <c r="M28" s="584" t="s">
        <v>89</v>
      </c>
      <c r="N28" s="597" t="s">
        <v>42</v>
      </c>
    </row>
    <row r="29" ht="75.0" customHeight="1">
      <c r="A29" s="222"/>
      <c r="B29" s="561" t="s">
        <v>90</v>
      </c>
      <c r="C29" s="562">
        <v>5.0</v>
      </c>
      <c r="D29" s="562" t="b">
        <v>1</v>
      </c>
      <c r="E29" s="562" t="s">
        <v>557</v>
      </c>
      <c r="F29" s="563">
        <v>45344.0</v>
      </c>
      <c r="G29" s="562" t="s">
        <v>18</v>
      </c>
      <c r="H29" s="606">
        <v>0.5833333333333334</v>
      </c>
      <c r="I29" s="564">
        <v>0.6041666666666666</v>
      </c>
      <c r="J29" s="562" t="s">
        <v>562</v>
      </c>
      <c r="K29" s="562" t="s">
        <v>110</v>
      </c>
      <c r="L29" s="565" t="s">
        <v>91</v>
      </c>
      <c r="M29" s="567" t="s">
        <v>22</v>
      </c>
      <c r="N29" s="567" t="s">
        <v>22</v>
      </c>
    </row>
    <row r="30" ht="75.0" customHeight="1">
      <c r="A30" s="222"/>
      <c r="B30" s="580" t="s">
        <v>99</v>
      </c>
      <c r="C30" s="569">
        <v>6.0</v>
      </c>
      <c r="D30" s="569" t="b">
        <v>1</v>
      </c>
      <c r="E30" s="569" t="s">
        <v>548</v>
      </c>
      <c r="F30" s="581">
        <v>45349.0</v>
      </c>
      <c r="G30" s="569" t="s">
        <v>18</v>
      </c>
      <c r="H30" s="582">
        <v>0.5</v>
      </c>
      <c r="I30" s="582">
        <v>0.5208333333333334</v>
      </c>
      <c r="J30" s="569" t="s">
        <v>545</v>
      </c>
      <c r="K30" s="569" t="s">
        <v>107</v>
      </c>
      <c r="L30" s="569" t="s">
        <v>100</v>
      </c>
      <c r="M30" s="585" t="s">
        <v>22</v>
      </c>
      <c r="N30" s="585" t="s">
        <v>22</v>
      </c>
    </row>
    <row r="31" ht="75.0" customHeight="1">
      <c r="A31" s="222"/>
      <c r="B31" s="561" t="s">
        <v>102</v>
      </c>
      <c r="C31" s="562" t="s">
        <v>103</v>
      </c>
      <c r="D31" s="562" t="b">
        <v>1</v>
      </c>
      <c r="E31" s="562" t="s">
        <v>556</v>
      </c>
      <c r="F31" s="563">
        <v>45371.0</v>
      </c>
      <c r="G31" s="562" t="s">
        <v>18</v>
      </c>
      <c r="H31" s="606">
        <v>0.5416666666666666</v>
      </c>
      <c r="I31" s="564">
        <v>0.5625</v>
      </c>
      <c r="J31" s="562" t="s">
        <v>107</v>
      </c>
      <c r="K31" s="562" t="s">
        <v>545</v>
      </c>
      <c r="L31" s="565" t="s">
        <v>855</v>
      </c>
      <c r="M31" s="567" t="s">
        <v>22</v>
      </c>
      <c r="N31" s="567" t="s">
        <v>22</v>
      </c>
    </row>
    <row r="32" ht="75.0" customHeight="1">
      <c r="A32" s="222"/>
      <c r="B32" s="623" t="s">
        <v>856</v>
      </c>
      <c r="C32" s="575" t="s">
        <v>103</v>
      </c>
      <c r="D32" s="575" t="b">
        <v>0</v>
      </c>
      <c r="E32" s="575" t="s">
        <v>557</v>
      </c>
      <c r="F32" s="624">
        <v>45372.0</v>
      </c>
      <c r="G32" s="575" t="s">
        <v>18</v>
      </c>
      <c r="H32" s="625">
        <v>0.5</v>
      </c>
      <c r="I32" s="626">
        <v>0.5208333333333334</v>
      </c>
      <c r="J32" s="569" t="s">
        <v>107</v>
      </c>
      <c r="K32" s="569" t="s">
        <v>545</v>
      </c>
      <c r="L32" s="575"/>
      <c r="M32" s="575" t="s">
        <v>22</v>
      </c>
      <c r="N32" s="575" t="s">
        <v>22</v>
      </c>
    </row>
    <row r="33" ht="75.0" customHeight="1">
      <c r="A33" s="222"/>
      <c r="B33" s="561" t="s">
        <v>105</v>
      </c>
      <c r="C33" s="562" t="s">
        <v>103</v>
      </c>
      <c r="D33" s="562" t="b">
        <v>1</v>
      </c>
      <c r="E33" s="562" t="s">
        <v>556</v>
      </c>
      <c r="F33" s="563">
        <v>45399.0</v>
      </c>
      <c r="G33" s="562" t="s">
        <v>18</v>
      </c>
      <c r="H33" s="606">
        <v>0.5</v>
      </c>
      <c r="I33" s="564">
        <v>0.5208333333333334</v>
      </c>
      <c r="J33" s="562" t="s">
        <v>107</v>
      </c>
      <c r="K33" s="562" t="s">
        <v>545</v>
      </c>
      <c r="L33" s="565"/>
      <c r="M33" s="567" t="s">
        <v>22</v>
      </c>
      <c r="N33" s="567" t="s">
        <v>22</v>
      </c>
    </row>
    <row r="34">
      <c r="G34" s="409"/>
      <c r="H34" s="409"/>
      <c r="I34" s="409"/>
      <c r="L34" s="410"/>
    </row>
    <row r="35">
      <c r="L35" s="410"/>
    </row>
    <row r="36">
      <c r="L36" s="410"/>
    </row>
    <row r="37">
      <c r="L37" s="410"/>
    </row>
    <row r="38">
      <c r="L38" s="410"/>
    </row>
    <row r="39">
      <c r="L39" s="410"/>
    </row>
    <row r="40">
      <c r="L40" s="410"/>
    </row>
    <row r="41">
      <c r="L41" s="410"/>
    </row>
    <row r="42">
      <c r="L42" s="410"/>
    </row>
    <row r="43">
      <c r="L43" s="410"/>
    </row>
    <row r="44">
      <c r="L44" s="410"/>
    </row>
    <row r="45">
      <c r="L45" s="410"/>
    </row>
    <row r="46">
      <c r="L46" s="410"/>
    </row>
    <row r="47">
      <c r="L47" s="410"/>
    </row>
    <row r="48">
      <c r="L48" s="410"/>
    </row>
    <row r="49">
      <c r="L49" s="410"/>
    </row>
    <row r="50">
      <c r="L50" s="410"/>
    </row>
    <row r="51">
      <c r="L51" s="410"/>
    </row>
    <row r="52">
      <c r="L52" s="410"/>
    </row>
    <row r="53">
      <c r="L53" s="410"/>
    </row>
    <row r="54">
      <c r="L54" s="410"/>
    </row>
    <row r="55">
      <c r="L55" s="410"/>
    </row>
    <row r="56">
      <c r="L56" s="410"/>
    </row>
    <row r="57">
      <c r="L57" s="410"/>
    </row>
    <row r="58">
      <c r="L58" s="410"/>
    </row>
    <row r="59">
      <c r="L59" s="410"/>
    </row>
    <row r="60">
      <c r="L60" s="410"/>
    </row>
    <row r="61">
      <c r="L61" s="410"/>
    </row>
    <row r="62">
      <c r="L62" s="410"/>
    </row>
    <row r="63">
      <c r="L63" s="410"/>
    </row>
    <row r="64">
      <c r="L64" s="410"/>
    </row>
    <row r="65">
      <c r="L65" s="410"/>
    </row>
    <row r="66">
      <c r="L66" s="410"/>
    </row>
    <row r="67">
      <c r="L67" s="410"/>
    </row>
    <row r="68">
      <c r="L68" s="410"/>
    </row>
    <row r="69">
      <c r="L69" s="410"/>
    </row>
    <row r="70">
      <c r="L70" s="410"/>
    </row>
    <row r="71">
      <c r="L71" s="410"/>
    </row>
    <row r="72">
      <c r="L72" s="410"/>
    </row>
    <row r="73">
      <c r="L73" s="410"/>
    </row>
    <row r="74">
      <c r="L74" s="410"/>
    </row>
    <row r="75">
      <c r="L75" s="410"/>
    </row>
    <row r="76">
      <c r="L76" s="410"/>
    </row>
    <row r="77">
      <c r="L77" s="410"/>
    </row>
    <row r="78">
      <c r="L78" s="410"/>
    </row>
    <row r="79">
      <c r="L79" s="410"/>
    </row>
    <row r="80">
      <c r="L80" s="410"/>
    </row>
    <row r="81">
      <c r="L81" s="410"/>
    </row>
    <row r="82">
      <c r="L82" s="410"/>
    </row>
    <row r="83">
      <c r="L83" s="410"/>
    </row>
    <row r="84">
      <c r="L84" s="410"/>
    </row>
    <row r="85">
      <c r="L85" s="410"/>
    </row>
    <row r="86">
      <c r="L86" s="410"/>
    </row>
    <row r="87">
      <c r="L87" s="410"/>
    </row>
    <row r="88">
      <c r="L88" s="410"/>
    </row>
    <row r="89">
      <c r="L89" s="410"/>
    </row>
    <row r="90">
      <c r="L90" s="410"/>
    </row>
    <row r="91">
      <c r="L91" s="410"/>
    </row>
    <row r="92">
      <c r="L92" s="410"/>
    </row>
    <row r="93">
      <c r="L93" s="410"/>
    </row>
    <row r="94">
      <c r="L94" s="410"/>
    </row>
    <row r="95">
      <c r="L95" s="410"/>
    </row>
    <row r="96">
      <c r="L96" s="410"/>
    </row>
    <row r="97">
      <c r="L97" s="410"/>
    </row>
    <row r="98">
      <c r="L98" s="410"/>
    </row>
    <row r="99">
      <c r="L99" s="410"/>
    </row>
    <row r="100">
      <c r="L100" s="410"/>
    </row>
    <row r="101">
      <c r="L101" s="410"/>
    </row>
    <row r="102">
      <c r="L102" s="410"/>
    </row>
    <row r="103">
      <c r="L103" s="410"/>
    </row>
    <row r="104">
      <c r="L104" s="410"/>
    </row>
    <row r="105">
      <c r="L105" s="410"/>
    </row>
    <row r="106">
      <c r="L106" s="410"/>
    </row>
    <row r="107">
      <c r="L107" s="410"/>
    </row>
    <row r="108">
      <c r="L108" s="410"/>
    </row>
    <row r="109">
      <c r="L109" s="410"/>
    </row>
    <row r="110">
      <c r="L110" s="410"/>
    </row>
    <row r="111">
      <c r="L111" s="410"/>
    </row>
    <row r="112">
      <c r="L112" s="410"/>
    </row>
    <row r="113">
      <c r="L113" s="410"/>
    </row>
    <row r="114">
      <c r="L114" s="410"/>
    </row>
    <row r="115">
      <c r="L115" s="410"/>
    </row>
    <row r="116">
      <c r="L116" s="410"/>
    </row>
    <row r="117">
      <c r="L117" s="410"/>
    </row>
    <row r="118">
      <c r="L118" s="410"/>
    </row>
    <row r="119">
      <c r="L119" s="410"/>
    </row>
    <row r="120">
      <c r="L120" s="410"/>
    </row>
    <row r="121">
      <c r="L121" s="410"/>
    </row>
    <row r="122">
      <c r="L122" s="410"/>
    </row>
    <row r="123">
      <c r="L123" s="410"/>
    </row>
    <row r="124">
      <c r="L124" s="410"/>
    </row>
    <row r="125">
      <c r="L125" s="410"/>
    </row>
    <row r="126">
      <c r="L126" s="410"/>
    </row>
    <row r="127">
      <c r="L127" s="410"/>
    </row>
    <row r="128">
      <c r="L128" s="410"/>
    </row>
    <row r="129">
      <c r="L129" s="410"/>
    </row>
    <row r="130">
      <c r="L130" s="410"/>
    </row>
    <row r="131">
      <c r="L131" s="410"/>
    </row>
    <row r="132">
      <c r="L132" s="410"/>
    </row>
    <row r="133">
      <c r="L133" s="410"/>
    </row>
    <row r="134">
      <c r="L134" s="410"/>
    </row>
    <row r="135">
      <c r="L135" s="410"/>
    </row>
    <row r="136">
      <c r="L136" s="410"/>
    </row>
    <row r="137">
      <c r="L137" s="410"/>
    </row>
    <row r="138">
      <c r="L138" s="410"/>
    </row>
    <row r="139">
      <c r="L139" s="410"/>
    </row>
    <row r="140">
      <c r="L140" s="410"/>
    </row>
    <row r="141">
      <c r="L141" s="410"/>
    </row>
    <row r="142">
      <c r="L142" s="410"/>
    </row>
    <row r="143">
      <c r="L143" s="410"/>
    </row>
    <row r="144">
      <c r="L144" s="410"/>
    </row>
    <row r="145">
      <c r="L145" s="410"/>
    </row>
    <row r="146">
      <c r="L146" s="410"/>
    </row>
    <row r="147">
      <c r="L147" s="410"/>
    </row>
    <row r="148">
      <c r="L148" s="410"/>
    </row>
    <row r="149">
      <c r="L149" s="410"/>
    </row>
    <row r="150">
      <c r="L150" s="410"/>
    </row>
    <row r="151">
      <c r="L151" s="410"/>
    </row>
    <row r="152">
      <c r="L152" s="410"/>
    </row>
    <row r="153">
      <c r="L153" s="410"/>
    </row>
    <row r="154">
      <c r="L154" s="410"/>
    </row>
    <row r="155">
      <c r="L155" s="410"/>
    </row>
    <row r="156">
      <c r="L156" s="410"/>
    </row>
    <row r="157">
      <c r="L157" s="410"/>
    </row>
    <row r="158">
      <c r="L158" s="410"/>
    </row>
    <row r="159">
      <c r="L159" s="410"/>
    </row>
    <row r="160">
      <c r="L160" s="410"/>
    </row>
    <row r="161">
      <c r="L161" s="410"/>
    </row>
    <row r="162">
      <c r="L162" s="410"/>
    </row>
    <row r="163">
      <c r="L163" s="410"/>
    </row>
    <row r="164">
      <c r="L164" s="410"/>
    </row>
    <row r="165">
      <c r="L165" s="410"/>
    </row>
    <row r="166">
      <c r="L166" s="410"/>
    </row>
    <row r="167">
      <c r="L167" s="410"/>
    </row>
    <row r="168">
      <c r="L168" s="410"/>
    </row>
    <row r="169">
      <c r="L169" s="410"/>
    </row>
    <row r="170">
      <c r="L170" s="410"/>
    </row>
    <row r="171">
      <c r="L171" s="410"/>
    </row>
    <row r="172">
      <c r="L172" s="410"/>
    </row>
    <row r="173">
      <c r="L173" s="410"/>
    </row>
    <row r="174">
      <c r="L174" s="410"/>
    </row>
    <row r="175">
      <c r="L175" s="410"/>
    </row>
    <row r="176">
      <c r="L176" s="410"/>
    </row>
    <row r="177">
      <c r="L177" s="410"/>
    </row>
    <row r="178">
      <c r="L178" s="410"/>
    </row>
    <row r="179">
      <c r="L179" s="410"/>
    </row>
    <row r="180">
      <c r="L180" s="410"/>
    </row>
    <row r="181">
      <c r="L181" s="410"/>
    </row>
    <row r="182">
      <c r="L182" s="410"/>
    </row>
    <row r="183">
      <c r="L183" s="410"/>
    </row>
    <row r="184">
      <c r="L184" s="410"/>
    </row>
    <row r="185">
      <c r="L185" s="410"/>
    </row>
    <row r="186">
      <c r="L186" s="410"/>
    </row>
    <row r="187">
      <c r="L187" s="410"/>
    </row>
    <row r="188">
      <c r="L188" s="410"/>
    </row>
    <row r="189">
      <c r="L189" s="410"/>
    </row>
    <row r="190">
      <c r="L190" s="410"/>
    </row>
    <row r="191">
      <c r="L191" s="410"/>
    </row>
    <row r="192">
      <c r="L192" s="410"/>
    </row>
    <row r="193">
      <c r="L193" s="410"/>
    </row>
    <row r="194">
      <c r="L194" s="410"/>
    </row>
    <row r="195">
      <c r="L195" s="410"/>
    </row>
    <row r="196">
      <c r="L196" s="410"/>
    </row>
    <row r="197">
      <c r="L197" s="410"/>
    </row>
    <row r="198">
      <c r="L198" s="410"/>
    </row>
    <row r="199">
      <c r="L199" s="410"/>
    </row>
    <row r="200">
      <c r="L200" s="410"/>
    </row>
    <row r="201">
      <c r="L201" s="410"/>
    </row>
    <row r="202">
      <c r="L202" s="410"/>
    </row>
    <row r="203">
      <c r="L203" s="410"/>
    </row>
    <row r="204">
      <c r="L204" s="410"/>
    </row>
    <row r="205">
      <c r="L205" s="410"/>
    </row>
    <row r="206">
      <c r="L206" s="410"/>
    </row>
    <row r="207">
      <c r="L207" s="410"/>
    </row>
    <row r="208">
      <c r="L208" s="410"/>
    </row>
    <row r="209">
      <c r="L209" s="410"/>
    </row>
    <row r="210">
      <c r="L210" s="410"/>
    </row>
    <row r="211">
      <c r="L211" s="410"/>
    </row>
    <row r="212">
      <c r="L212" s="410"/>
    </row>
    <row r="213">
      <c r="L213" s="410"/>
    </row>
    <row r="214">
      <c r="L214" s="410"/>
    </row>
    <row r="215">
      <c r="L215" s="410"/>
    </row>
    <row r="216">
      <c r="L216" s="410"/>
    </row>
    <row r="217">
      <c r="L217" s="410"/>
    </row>
    <row r="218">
      <c r="L218" s="410"/>
    </row>
    <row r="219">
      <c r="L219" s="410"/>
    </row>
    <row r="220">
      <c r="L220" s="410"/>
    </row>
    <row r="221">
      <c r="L221" s="410"/>
    </row>
    <row r="222">
      <c r="L222" s="410"/>
    </row>
    <row r="223">
      <c r="L223" s="410"/>
    </row>
    <row r="224">
      <c r="L224" s="410"/>
    </row>
    <row r="225">
      <c r="L225" s="410"/>
    </row>
    <row r="226">
      <c r="L226" s="410"/>
    </row>
    <row r="227">
      <c r="L227" s="410"/>
    </row>
    <row r="228">
      <c r="L228" s="410"/>
    </row>
    <row r="229">
      <c r="L229" s="410"/>
    </row>
    <row r="230">
      <c r="L230" s="410"/>
    </row>
    <row r="231">
      <c r="L231" s="410"/>
    </row>
    <row r="232">
      <c r="L232" s="410"/>
    </row>
    <row r="233">
      <c r="L233" s="410"/>
    </row>
    <row r="234">
      <c r="L234" s="410"/>
    </row>
    <row r="235">
      <c r="L235" s="410"/>
    </row>
    <row r="236">
      <c r="L236" s="410"/>
    </row>
    <row r="237">
      <c r="L237" s="410"/>
    </row>
    <row r="238">
      <c r="L238" s="410"/>
    </row>
    <row r="239">
      <c r="L239" s="410"/>
    </row>
    <row r="240">
      <c r="L240" s="410"/>
    </row>
    <row r="241">
      <c r="L241" s="410"/>
    </row>
    <row r="242">
      <c r="L242" s="410"/>
    </row>
    <row r="243">
      <c r="L243" s="410"/>
    </row>
    <row r="244">
      <c r="L244" s="410"/>
    </row>
    <row r="245">
      <c r="L245" s="410"/>
    </row>
    <row r="246">
      <c r="L246" s="410"/>
    </row>
    <row r="247">
      <c r="L247" s="410"/>
    </row>
    <row r="248">
      <c r="L248" s="410"/>
    </row>
    <row r="249">
      <c r="L249" s="410"/>
    </row>
    <row r="250">
      <c r="L250" s="410"/>
    </row>
    <row r="251">
      <c r="L251" s="410"/>
    </row>
    <row r="252">
      <c r="L252" s="410"/>
    </row>
    <row r="253">
      <c r="L253" s="410"/>
    </row>
    <row r="254">
      <c r="L254" s="410"/>
    </row>
    <row r="255">
      <c r="L255" s="410"/>
    </row>
    <row r="256">
      <c r="L256" s="410"/>
    </row>
    <row r="257">
      <c r="L257" s="410"/>
    </row>
    <row r="258">
      <c r="L258" s="410"/>
    </row>
    <row r="259">
      <c r="L259" s="410"/>
    </row>
    <row r="260">
      <c r="L260" s="410"/>
    </row>
    <row r="261">
      <c r="L261" s="410"/>
    </row>
    <row r="262">
      <c r="L262" s="410"/>
    </row>
    <row r="263">
      <c r="L263" s="410"/>
    </row>
    <row r="264">
      <c r="L264" s="410"/>
    </row>
    <row r="265">
      <c r="L265" s="410"/>
    </row>
    <row r="266">
      <c r="L266" s="410"/>
    </row>
    <row r="267">
      <c r="L267" s="410"/>
    </row>
    <row r="268">
      <c r="L268" s="410"/>
    </row>
    <row r="269">
      <c r="L269" s="410"/>
    </row>
    <row r="270">
      <c r="L270" s="410"/>
    </row>
    <row r="271">
      <c r="L271" s="410"/>
    </row>
    <row r="272">
      <c r="L272" s="410"/>
    </row>
    <row r="273">
      <c r="L273" s="410"/>
    </row>
    <row r="274">
      <c r="L274" s="410"/>
    </row>
    <row r="275">
      <c r="L275" s="410"/>
    </row>
    <row r="276">
      <c r="L276" s="410"/>
    </row>
    <row r="277">
      <c r="L277" s="410"/>
    </row>
    <row r="278">
      <c r="L278" s="410"/>
    </row>
    <row r="279">
      <c r="L279" s="410"/>
    </row>
    <row r="280">
      <c r="L280" s="410"/>
    </row>
    <row r="281">
      <c r="L281" s="410"/>
    </row>
    <row r="282">
      <c r="L282" s="410"/>
    </row>
    <row r="283">
      <c r="L283" s="410"/>
    </row>
    <row r="284">
      <c r="L284" s="410"/>
    </row>
    <row r="285">
      <c r="L285" s="410"/>
    </row>
    <row r="286">
      <c r="L286" s="410"/>
    </row>
    <row r="287">
      <c r="L287" s="410"/>
    </row>
    <row r="288">
      <c r="L288" s="410"/>
    </row>
    <row r="289">
      <c r="L289" s="410"/>
    </row>
    <row r="290">
      <c r="L290" s="410"/>
    </row>
    <row r="291">
      <c r="L291" s="410"/>
    </row>
    <row r="292">
      <c r="L292" s="410"/>
    </row>
    <row r="293">
      <c r="L293" s="410"/>
    </row>
    <row r="294">
      <c r="L294" s="410"/>
    </row>
    <row r="295">
      <c r="L295" s="410"/>
    </row>
    <row r="296">
      <c r="L296" s="410"/>
    </row>
    <row r="297">
      <c r="L297" s="410"/>
    </row>
    <row r="298">
      <c r="L298" s="410"/>
    </row>
    <row r="299">
      <c r="L299" s="410"/>
    </row>
    <row r="300">
      <c r="L300" s="410"/>
    </row>
    <row r="301">
      <c r="L301" s="410"/>
    </row>
    <row r="302">
      <c r="L302" s="410"/>
    </row>
    <row r="303">
      <c r="L303" s="410"/>
    </row>
    <row r="304">
      <c r="L304" s="410"/>
    </row>
    <row r="305">
      <c r="L305" s="410"/>
    </row>
    <row r="306">
      <c r="L306" s="410"/>
    </row>
    <row r="307">
      <c r="L307" s="410"/>
    </row>
    <row r="308">
      <c r="L308" s="410"/>
    </row>
    <row r="309">
      <c r="L309" s="410"/>
    </row>
    <row r="310">
      <c r="L310" s="410"/>
    </row>
    <row r="311">
      <c r="L311" s="410"/>
    </row>
    <row r="312">
      <c r="L312" s="410"/>
    </row>
    <row r="313">
      <c r="L313" s="410"/>
    </row>
    <row r="314">
      <c r="L314" s="410"/>
    </row>
    <row r="315">
      <c r="L315" s="410"/>
    </row>
    <row r="316">
      <c r="L316" s="410"/>
    </row>
    <row r="317">
      <c r="L317" s="410"/>
    </row>
    <row r="318">
      <c r="L318" s="410"/>
    </row>
    <row r="319">
      <c r="L319" s="410"/>
    </row>
    <row r="320">
      <c r="L320" s="410"/>
    </row>
    <row r="321">
      <c r="L321" s="410"/>
    </row>
    <row r="322">
      <c r="L322" s="410"/>
    </row>
    <row r="323">
      <c r="L323" s="410"/>
    </row>
    <row r="324">
      <c r="L324" s="410"/>
    </row>
    <row r="325">
      <c r="L325" s="410"/>
    </row>
    <row r="326">
      <c r="L326" s="410"/>
    </row>
    <row r="327">
      <c r="L327" s="410"/>
    </row>
    <row r="328">
      <c r="L328" s="410"/>
    </row>
    <row r="329">
      <c r="L329" s="410"/>
    </row>
    <row r="330">
      <c r="L330" s="410"/>
    </row>
    <row r="331">
      <c r="L331" s="410"/>
    </row>
    <row r="332">
      <c r="L332" s="410"/>
    </row>
    <row r="333">
      <c r="L333" s="410"/>
    </row>
    <row r="334">
      <c r="L334" s="410"/>
    </row>
    <row r="335">
      <c r="L335" s="410"/>
    </row>
    <row r="336">
      <c r="L336" s="410"/>
    </row>
    <row r="337">
      <c r="L337" s="410"/>
    </row>
    <row r="338">
      <c r="L338" s="410"/>
    </row>
    <row r="339">
      <c r="L339" s="410"/>
    </row>
    <row r="340">
      <c r="L340" s="410"/>
    </row>
    <row r="341">
      <c r="L341" s="410"/>
    </row>
    <row r="342">
      <c r="L342" s="410"/>
    </row>
    <row r="343">
      <c r="L343" s="410"/>
    </row>
    <row r="344">
      <c r="L344" s="410"/>
    </row>
    <row r="345">
      <c r="L345" s="410"/>
    </row>
    <row r="346">
      <c r="L346" s="410"/>
    </row>
    <row r="347">
      <c r="L347" s="410"/>
    </row>
    <row r="348">
      <c r="L348" s="410"/>
    </row>
    <row r="349">
      <c r="L349" s="410"/>
    </row>
    <row r="350">
      <c r="L350" s="410"/>
    </row>
    <row r="351">
      <c r="L351" s="410"/>
    </row>
    <row r="352">
      <c r="L352" s="410"/>
    </row>
    <row r="353">
      <c r="L353" s="410"/>
    </row>
    <row r="354">
      <c r="L354" s="410"/>
    </row>
    <row r="355">
      <c r="L355" s="410"/>
    </row>
    <row r="356">
      <c r="L356" s="410"/>
    </row>
    <row r="357">
      <c r="L357" s="410"/>
    </row>
    <row r="358">
      <c r="L358" s="410"/>
    </row>
    <row r="359">
      <c r="L359" s="410"/>
    </row>
    <row r="360">
      <c r="L360" s="410"/>
    </row>
    <row r="361">
      <c r="L361" s="410"/>
    </row>
    <row r="362">
      <c r="L362" s="410"/>
    </row>
    <row r="363">
      <c r="L363" s="410"/>
    </row>
    <row r="364">
      <c r="L364" s="410"/>
    </row>
    <row r="365">
      <c r="L365" s="410"/>
    </row>
    <row r="366">
      <c r="L366" s="410"/>
    </row>
    <row r="367">
      <c r="L367" s="410"/>
    </row>
    <row r="368">
      <c r="L368" s="410"/>
    </row>
    <row r="369">
      <c r="L369" s="410"/>
    </row>
    <row r="370">
      <c r="L370" s="410"/>
    </row>
    <row r="371">
      <c r="L371" s="410"/>
    </row>
    <row r="372">
      <c r="L372" s="410"/>
    </row>
    <row r="373">
      <c r="L373" s="410"/>
    </row>
    <row r="374">
      <c r="L374" s="410"/>
    </row>
    <row r="375">
      <c r="L375" s="410"/>
    </row>
    <row r="376">
      <c r="L376" s="410"/>
    </row>
    <row r="377">
      <c r="L377" s="410"/>
    </row>
    <row r="378">
      <c r="L378" s="410"/>
    </row>
    <row r="379">
      <c r="L379" s="410"/>
    </row>
    <row r="380">
      <c r="L380" s="410"/>
    </row>
    <row r="381">
      <c r="L381" s="410"/>
    </row>
    <row r="382">
      <c r="L382" s="410"/>
    </row>
    <row r="383">
      <c r="L383" s="410"/>
    </row>
    <row r="384">
      <c r="L384" s="410"/>
    </row>
    <row r="385">
      <c r="L385" s="410"/>
    </row>
    <row r="386">
      <c r="L386" s="410"/>
    </row>
    <row r="387">
      <c r="L387" s="410"/>
    </row>
    <row r="388">
      <c r="L388" s="410"/>
    </row>
    <row r="389">
      <c r="L389" s="410"/>
    </row>
    <row r="390">
      <c r="L390" s="410"/>
    </row>
    <row r="391">
      <c r="L391" s="410"/>
    </row>
    <row r="392">
      <c r="L392" s="410"/>
    </row>
    <row r="393">
      <c r="L393" s="410"/>
    </row>
    <row r="394">
      <c r="L394" s="410"/>
    </row>
    <row r="395">
      <c r="L395" s="410"/>
    </row>
    <row r="396">
      <c r="L396" s="410"/>
    </row>
    <row r="397">
      <c r="L397" s="410"/>
    </row>
    <row r="398">
      <c r="L398" s="410"/>
    </row>
    <row r="399">
      <c r="L399" s="410"/>
    </row>
    <row r="400">
      <c r="L400" s="410"/>
    </row>
    <row r="401">
      <c r="L401" s="410"/>
    </row>
    <row r="402">
      <c r="L402" s="410"/>
    </row>
    <row r="403">
      <c r="L403" s="410"/>
    </row>
    <row r="404">
      <c r="L404" s="410"/>
    </row>
    <row r="405">
      <c r="L405" s="410"/>
    </row>
    <row r="406">
      <c r="L406" s="410"/>
    </row>
    <row r="407">
      <c r="L407" s="410"/>
    </row>
    <row r="408">
      <c r="L408" s="410"/>
    </row>
    <row r="409">
      <c r="L409" s="410"/>
    </row>
    <row r="410">
      <c r="L410" s="410"/>
    </row>
    <row r="411">
      <c r="L411" s="410"/>
    </row>
    <row r="412">
      <c r="L412" s="410"/>
    </row>
    <row r="413">
      <c r="L413" s="410"/>
    </row>
    <row r="414">
      <c r="L414" s="410"/>
    </row>
    <row r="415">
      <c r="L415" s="410"/>
    </row>
    <row r="416">
      <c r="L416" s="410"/>
    </row>
    <row r="417">
      <c r="L417" s="410"/>
    </row>
    <row r="418">
      <c r="L418" s="410"/>
    </row>
    <row r="419">
      <c r="L419" s="410"/>
    </row>
    <row r="420">
      <c r="L420" s="410"/>
    </row>
    <row r="421">
      <c r="L421" s="410"/>
    </row>
    <row r="422">
      <c r="L422" s="410"/>
    </row>
    <row r="423">
      <c r="L423" s="410"/>
    </row>
    <row r="424">
      <c r="L424" s="410"/>
    </row>
    <row r="425">
      <c r="L425" s="410"/>
    </row>
    <row r="426">
      <c r="L426" s="410"/>
    </row>
    <row r="427">
      <c r="L427" s="410"/>
    </row>
    <row r="428">
      <c r="L428" s="410"/>
    </row>
    <row r="429">
      <c r="L429" s="410"/>
    </row>
    <row r="430">
      <c r="L430" s="410"/>
    </row>
    <row r="431">
      <c r="L431" s="410"/>
    </row>
    <row r="432">
      <c r="L432" s="410"/>
    </row>
    <row r="433">
      <c r="L433" s="410"/>
    </row>
    <row r="434">
      <c r="L434" s="410"/>
    </row>
    <row r="435">
      <c r="L435" s="410"/>
    </row>
    <row r="436">
      <c r="L436" s="410"/>
    </row>
    <row r="437">
      <c r="L437" s="410"/>
    </row>
    <row r="438">
      <c r="L438" s="410"/>
    </row>
    <row r="439">
      <c r="L439" s="410"/>
    </row>
    <row r="440">
      <c r="L440" s="410"/>
    </row>
    <row r="441">
      <c r="L441" s="410"/>
    </row>
    <row r="442">
      <c r="L442" s="410"/>
    </row>
    <row r="443">
      <c r="L443" s="410"/>
    </row>
    <row r="444">
      <c r="L444" s="410"/>
    </row>
    <row r="445">
      <c r="L445" s="410"/>
    </row>
    <row r="446">
      <c r="L446" s="410"/>
    </row>
    <row r="447">
      <c r="L447" s="410"/>
    </row>
    <row r="448">
      <c r="L448" s="410"/>
    </row>
    <row r="449">
      <c r="L449" s="410"/>
    </row>
    <row r="450">
      <c r="L450" s="410"/>
    </row>
    <row r="451">
      <c r="L451" s="410"/>
    </row>
    <row r="452">
      <c r="L452" s="410"/>
    </row>
    <row r="453">
      <c r="L453" s="410"/>
    </row>
    <row r="454">
      <c r="L454" s="410"/>
    </row>
    <row r="455">
      <c r="L455" s="410"/>
    </row>
    <row r="456">
      <c r="L456" s="410"/>
    </row>
    <row r="457">
      <c r="L457" s="410"/>
    </row>
    <row r="458">
      <c r="L458" s="410"/>
    </row>
    <row r="459">
      <c r="L459" s="410"/>
    </row>
    <row r="460">
      <c r="L460" s="410"/>
    </row>
    <row r="461">
      <c r="L461" s="410"/>
    </row>
    <row r="462">
      <c r="L462" s="410"/>
    </row>
    <row r="463">
      <c r="L463" s="410"/>
    </row>
    <row r="464">
      <c r="L464" s="410"/>
    </row>
    <row r="465">
      <c r="L465" s="410"/>
    </row>
    <row r="466">
      <c r="L466" s="410"/>
    </row>
    <row r="467">
      <c r="L467" s="410"/>
    </row>
    <row r="468">
      <c r="L468" s="410"/>
    </row>
    <row r="469">
      <c r="L469" s="410"/>
    </row>
    <row r="470">
      <c r="L470" s="410"/>
    </row>
    <row r="471">
      <c r="L471" s="410"/>
    </row>
    <row r="472">
      <c r="L472" s="410"/>
    </row>
    <row r="473">
      <c r="L473" s="410"/>
    </row>
    <row r="474">
      <c r="L474" s="410"/>
    </row>
    <row r="475">
      <c r="L475" s="410"/>
    </row>
    <row r="476">
      <c r="L476" s="410"/>
    </row>
    <row r="477">
      <c r="L477" s="410"/>
    </row>
    <row r="478">
      <c r="L478" s="410"/>
    </row>
    <row r="479">
      <c r="L479" s="410"/>
    </row>
    <row r="480">
      <c r="L480" s="410"/>
    </row>
    <row r="481">
      <c r="L481" s="410"/>
    </row>
    <row r="482">
      <c r="L482" s="410"/>
    </row>
    <row r="483">
      <c r="L483" s="410"/>
    </row>
    <row r="484">
      <c r="L484" s="410"/>
    </row>
    <row r="485">
      <c r="L485" s="410"/>
    </row>
    <row r="486">
      <c r="L486" s="410"/>
    </row>
    <row r="487">
      <c r="L487" s="410"/>
    </row>
    <row r="488">
      <c r="L488" s="410"/>
    </row>
    <row r="489">
      <c r="L489" s="410"/>
    </row>
    <row r="490">
      <c r="L490" s="410"/>
    </row>
    <row r="491">
      <c r="L491" s="410"/>
    </row>
    <row r="492">
      <c r="L492" s="410"/>
    </row>
    <row r="493">
      <c r="L493" s="410"/>
    </row>
    <row r="494">
      <c r="L494" s="410"/>
    </row>
    <row r="495">
      <c r="L495" s="410"/>
    </row>
    <row r="496">
      <c r="L496" s="410"/>
    </row>
    <row r="497">
      <c r="L497" s="410"/>
    </row>
    <row r="498">
      <c r="L498" s="410"/>
    </row>
    <row r="499">
      <c r="L499" s="410"/>
    </row>
    <row r="500">
      <c r="L500" s="410"/>
    </row>
    <row r="501">
      <c r="L501" s="410"/>
    </row>
    <row r="502">
      <c r="L502" s="410"/>
    </row>
    <row r="503">
      <c r="L503" s="410"/>
    </row>
    <row r="504">
      <c r="L504" s="410"/>
    </row>
    <row r="505">
      <c r="L505" s="410"/>
    </row>
    <row r="506">
      <c r="L506" s="410"/>
    </row>
    <row r="507">
      <c r="L507" s="410"/>
    </row>
    <row r="508">
      <c r="L508" s="410"/>
    </row>
    <row r="509">
      <c r="L509" s="410"/>
    </row>
    <row r="510">
      <c r="L510" s="410"/>
    </row>
    <row r="511">
      <c r="L511" s="410"/>
    </row>
    <row r="512">
      <c r="L512" s="410"/>
    </row>
    <row r="513">
      <c r="L513" s="410"/>
    </row>
    <row r="514">
      <c r="L514" s="410"/>
    </row>
    <row r="515">
      <c r="L515" s="410"/>
    </row>
    <row r="516">
      <c r="L516" s="410"/>
    </row>
    <row r="517">
      <c r="L517" s="410"/>
    </row>
    <row r="518">
      <c r="L518" s="410"/>
    </row>
    <row r="519">
      <c r="L519" s="410"/>
    </row>
    <row r="520">
      <c r="L520" s="410"/>
    </row>
    <row r="521">
      <c r="L521" s="410"/>
    </row>
    <row r="522">
      <c r="L522" s="410"/>
    </row>
    <row r="523">
      <c r="L523" s="410"/>
    </row>
    <row r="524">
      <c r="L524" s="410"/>
    </row>
    <row r="525">
      <c r="L525" s="410"/>
    </row>
    <row r="526">
      <c r="L526" s="410"/>
    </row>
    <row r="527">
      <c r="L527" s="410"/>
    </row>
    <row r="528">
      <c r="L528" s="410"/>
    </row>
    <row r="529">
      <c r="L529" s="410"/>
    </row>
    <row r="530">
      <c r="L530" s="410"/>
    </row>
    <row r="531">
      <c r="L531" s="410"/>
    </row>
    <row r="532">
      <c r="L532" s="410"/>
    </row>
    <row r="533">
      <c r="L533" s="410"/>
    </row>
    <row r="534">
      <c r="L534" s="410"/>
    </row>
    <row r="535">
      <c r="L535" s="410"/>
    </row>
    <row r="536">
      <c r="L536" s="410"/>
    </row>
    <row r="537">
      <c r="L537" s="410"/>
    </row>
    <row r="538">
      <c r="L538" s="410"/>
    </row>
    <row r="539">
      <c r="L539" s="410"/>
    </row>
    <row r="540">
      <c r="L540" s="410"/>
    </row>
    <row r="541">
      <c r="L541" s="410"/>
    </row>
    <row r="542">
      <c r="L542" s="410"/>
    </row>
    <row r="543">
      <c r="L543" s="410"/>
    </row>
    <row r="544">
      <c r="L544" s="410"/>
    </row>
    <row r="545">
      <c r="L545" s="410"/>
    </row>
    <row r="546">
      <c r="L546" s="410"/>
    </row>
    <row r="547">
      <c r="L547" s="410"/>
    </row>
    <row r="548">
      <c r="L548" s="410"/>
    </row>
    <row r="549">
      <c r="L549" s="410"/>
    </row>
    <row r="550">
      <c r="L550" s="410"/>
    </row>
    <row r="551">
      <c r="L551" s="410"/>
    </row>
    <row r="552">
      <c r="L552" s="410"/>
    </row>
    <row r="553">
      <c r="L553" s="410"/>
    </row>
    <row r="554">
      <c r="L554" s="410"/>
    </row>
    <row r="555">
      <c r="L555" s="410"/>
    </row>
    <row r="556">
      <c r="L556" s="410"/>
    </row>
    <row r="557">
      <c r="L557" s="410"/>
    </row>
    <row r="558">
      <c r="L558" s="410"/>
    </row>
    <row r="559">
      <c r="L559" s="410"/>
    </row>
    <row r="560">
      <c r="L560" s="410"/>
    </row>
    <row r="561">
      <c r="L561" s="410"/>
    </row>
    <row r="562">
      <c r="L562" s="410"/>
    </row>
    <row r="563">
      <c r="L563" s="410"/>
    </row>
    <row r="564">
      <c r="L564" s="410"/>
    </row>
    <row r="565">
      <c r="L565" s="410"/>
    </row>
    <row r="566">
      <c r="L566" s="410"/>
    </row>
    <row r="567">
      <c r="L567" s="410"/>
    </row>
    <row r="568">
      <c r="L568" s="410"/>
    </row>
    <row r="569">
      <c r="L569" s="410"/>
    </row>
    <row r="570">
      <c r="L570" s="410"/>
    </row>
    <row r="571">
      <c r="L571" s="410"/>
    </row>
    <row r="572">
      <c r="L572" s="410"/>
    </row>
    <row r="573">
      <c r="L573" s="410"/>
    </row>
    <row r="574">
      <c r="L574" s="410"/>
    </row>
    <row r="575">
      <c r="L575" s="410"/>
    </row>
    <row r="576">
      <c r="L576" s="410"/>
    </row>
    <row r="577">
      <c r="L577" s="410"/>
    </row>
    <row r="578">
      <c r="L578" s="410"/>
    </row>
    <row r="579">
      <c r="L579" s="410"/>
    </row>
    <row r="580">
      <c r="L580" s="410"/>
    </row>
    <row r="581">
      <c r="L581" s="410"/>
    </row>
    <row r="582">
      <c r="L582" s="410"/>
    </row>
    <row r="583">
      <c r="L583" s="410"/>
    </row>
    <row r="584">
      <c r="L584" s="410"/>
    </row>
    <row r="585">
      <c r="L585" s="410"/>
    </row>
    <row r="586">
      <c r="L586" s="410"/>
    </row>
    <row r="587">
      <c r="L587" s="410"/>
    </row>
    <row r="588">
      <c r="L588" s="410"/>
    </row>
    <row r="589">
      <c r="L589" s="410"/>
    </row>
    <row r="590">
      <c r="L590" s="410"/>
    </row>
    <row r="591">
      <c r="L591" s="410"/>
    </row>
    <row r="592">
      <c r="L592" s="410"/>
    </row>
    <row r="593">
      <c r="L593" s="410"/>
    </row>
    <row r="594">
      <c r="L594" s="410"/>
    </row>
    <row r="595">
      <c r="L595" s="410"/>
    </row>
    <row r="596">
      <c r="L596" s="410"/>
    </row>
    <row r="597">
      <c r="L597" s="410"/>
    </row>
    <row r="598">
      <c r="L598" s="410"/>
    </row>
    <row r="599">
      <c r="L599" s="410"/>
    </row>
    <row r="600">
      <c r="L600" s="410"/>
    </row>
    <row r="601">
      <c r="L601" s="410"/>
    </row>
    <row r="602">
      <c r="L602" s="410"/>
    </row>
    <row r="603">
      <c r="L603" s="410"/>
    </row>
    <row r="604">
      <c r="L604" s="410"/>
    </row>
    <row r="605">
      <c r="L605" s="410"/>
    </row>
    <row r="606">
      <c r="L606" s="410"/>
    </row>
    <row r="607">
      <c r="L607" s="410"/>
    </row>
    <row r="608">
      <c r="L608" s="410"/>
    </row>
    <row r="609">
      <c r="L609" s="410"/>
    </row>
    <row r="610">
      <c r="L610" s="410"/>
    </row>
    <row r="611">
      <c r="L611" s="410"/>
    </row>
    <row r="612">
      <c r="L612" s="410"/>
    </row>
    <row r="613">
      <c r="L613" s="410"/>
    </row>
    <row r="614">
      <c r="L614" s="410"/>
    </row>
    <row r="615">
      <c r="L615" s="410"/>
    </row>
    <row r="616">
      <c r="L616" s="410"/>
    </row>
    <row r="617">
      <c r="L617" s="410"/>
    </row>
    <row r="618">
      <c r="L618" s="410"/>
    </row>
    <row r="619">
      <c r="L619" s="410"/>
    </row>
    <row r="620">
      <c r="L620" s="410"/>
    </row>
    <row r="621">
      <c r="L621" s="410"/>
    </row>
    <row r="622">
      <c r="L622" s="410"/>
    </row>
    <row r="623">
      <c r="L623" s="410"/>
    </row>
    <row r="624">
      <c r="L624" s="410"/>
    </row>
    <row r="625">
      <c r="L625" s="410"/>
    </row>
    <row r="626">
      <c r="L626" s="410"/>
    </row>
    <row r="627">
      <c r="L627" s="410"/>
    </row>
    <row r="628">
      <c r="L628" s="410"/>
    </row>
    <row r="629">
      <c r="L629" s="410"/>
    </row>
    <row r="630">
      <c r="L630" s="410"/>
    </row>
    <row r="631">
      <c r="L631" s="410"/>
    </row>
    <row r="632">
      <c r="L632" s="410"/>
    </row>
    <row r="633">
      <c r="L633" s="410"/>
    </row>
    <row r="634">
      <c r="L634" s="410"/>
    </row>
    <row r="635">
      <c r="L635" s="410"/>
    </row>
    <row r="636">
      <c r="L636" s="410"/>
    </row>
    <row r="637">
      <c r="L637" s="410"/>
    </row>
    <row r="638">
      <c r="L638" s="410"/>
    </row>
    <row r="639">
      <c r="L639" s="410"/>
    </row>
    <row r="640">
      <c r="L640" s="410"/>
    </row>
    <row r="641">
      <c r="L641" s="410"/>
    </row>
    <row r="642">
      <c r="L642" s="410"/>
    </row>
    <row r="643">
      <c r="L643" s="410"/>
    </row>
    <row r="644">
      <c r="L644" s="410"/>
    </row>
    <row r="645">
      <c r="L645" s="410"/>
    </row>
    <row r="646">
      <c r="L646" s="410"/>
    </row>
    <row r="647">
      <c r="L647" s="410"/>
    </row>
    <row r="648">
      <c r="L648" s="410"/>
    </row>
    <row r="649">
      <c r="L649" s="410"/>
    </row>
    <row r="650">
      <c r="L650" s="410"/>
    </row>
    <row r="651">
      <c r="L651" s="410"/>
    </row>
    <row r="652">
      <c r="L652" s="410"/>
    </row>
    <row r="653">
      <c r="L653" s="410"/>
    </row>
    <row r="654">
      <c r="L654" s="410"/>
    </row>
    <row r="655">
      <c r="L655" s="410"/>
    </row>
    <row r="656">
      <c r="L656" s="410"/>
    </row>
    <row r="657">
      <c r="L657" s="410"/>
    </row>
    <row r="658">
      <c r="L658" s="410"/>
    </row>
    <row r="659">
      <c r="L659" s="410"/>
    </row>
    <row r="660">
      <c r="L660" s="410"/>
    </row>
    <row r="661">
      <c r="L661" s="410"/>
    </row>
    <row r="662">
      <c r="L662" s="410"/>
    </row>
    <row r="663">
      <c r="L663" s="410"/>
    </row>
    <row r="664">
      <c r="L664" s="410"/>
    </row>
    <row r="665">
      <c r="L665" s="410"/>
    </row>
    <row r="666">
      <c r="L666" s="410"/>
    </row>
    <row r="667">
      <c r="L667" s="410"/>
    </row>
    <row r="668">
      <c r="L668" s="410"/>
    </row>
    <row r="669">
      <c r="L669" s="410"/>
    </row>
    <row r="670">
      <c r="L670" s="410"/>
    </row>
    <row r="671">
      <c r="L671" s="410"/>
    </row>
    <row r="672">
      <c r="L672" s="410"/>
    </row>
    <row r="673">
      <c r="L673" s="410"/>
    </row>
    <row r="674">
      <c r="L674" s="410"/>
    </row>
    <row r="675">
      <c r="L675" s="410"/>
    </row>
    <row r="676">
      <c r="L676" s="410"/>
    </row>
    <row r="677">
      <c r="L677" s="410"/>
    </row>
    <row r="678">
      <c r="L678" s="410"/>
    </row>
    <row r="679">
      <c r="L679" s="410"/>
    </row>
    <row r="680">
      <c r="L680" s="410"/>
    </row>
    <row r="681">
      <c r="L681" s="410"/>
    </row>
    <row r="682">
      <c r="L682" s="410"/>
    </row>
    <row r="683">
      <c r="L683" s="410"/>
    </row>
    <row r="684">
      <c r="L684" s="410"/>
    </row>
    <row r="685">
      <c r="L685" s="410"/>
    </row>
    <row r="686">
      <c r="L686" s="410"/>
    </row>
    <row r="687">
      <c r="L687" s="410"/>
    </row>
    <row r="688">
      <c r="L688" s="410"/>
    </row>
    <row r="689">
      <c r="L689" s="410"/>
    </row>
    <row r="690">
      <c r="L690" s="410"/>
    </row>
    <row r="691">
      <c r="L691" s="410"/>
    </row>
    <row r="692">
      <c r="L692" s="410"/>
    </row>
    <row r="693">
      <c r="L693" s="410"/>
    </row>
    <row r="694">
      <c r="L694" s="410"/>
    </row>
    <row r="695">
      <c r="L695" s="410"/>
    </row>
    <row r="696">
      <c r="L696" s="410"/>
    </row>
    <row r="697">
      <c r="L697" s="410"/>
    </row>
    <row r="698">
      <c r="L698" s="410"/>
    </row>
    <row r="699">
      <c r="L699" s="410"/>
    </row>
    <row r="700">
      <c r="L700" s="410"/>
    </row>
    <row r="701">
      <c r="L701" s="410"/>
    </row>
    <row r="702">
      <c r="L702" s="410"/>
    </row>
    <row r="703">
      <c r="L703" s="410"/>
    </row>
    <row r="704">
      <c r="L704" s="410"/>
    </row>
    <row r="705">
      <c r="L705" s="410"/>
    </row>
    <row r="706">
      <c r="L706" s="410"/>
    </row>
    <row r="707">
      <c r="L707" s="410"/>
    </row>
    <row r="708">
      <c r="L708" s="410"/>
    </row>
    <row r="709">
      <c r="L709" s="410"/>
    </row>
    <row r="710">
      <c r="L710" s="410"/>
    </row>
    <row r="711">
      <c r="L711" s="410"/>
    </row>
    <row r="712">
      <c r="L712" s="410"/>
    </row>
    <row r="713">
      <c r="L713" s="410"/>
    </row>
    <row r="714">
      <c r="L714" s="410"/>
    </row>
    <row r="715">
      <c r="L715" s="410"/>
    </row>
    <row r="716">
      <c r="L716" s="410"/>
    </row>
    <row r="717">
      <c r="L717" s="410"/>
    </row>
    <row r="718">
      <c r="L718" s="410"/>
    </row>
    <row r="719">
      <c r="L719" s="410"/>
    </row>
    <row r="720">
      <c r="L720" s="410"/>
    </row>
    <row r="721">
      <c r="L721" s="410"/>
    </row>
    <row r="722">
      <c r="L722" s="410"/>
    </row>
    <row r="723">
      <c r="L723" s="410"/>
    </row>
    <row r="724">
      <c r="L724" s="410"/>
    </row>
    <row r="725">
      <c r="L725" s="410"/>
    </row>
    <row r="726">
      <c r="L726" s="410"/>
    </row>
    <row r="727">
      <c r="L727" s="410"/>
    </row>
    <row r="728">
      <c r="L728" s="410"/>
    </row>
    <row r="729">
      <c r="L729" s="410"/>
    </row>
    <row r="730">
      <c r="L730" s="410"/>
    </row>
    <row r="731">
      <c r="L731" s="410"/>
    </row>
    <row r="732">
      <c r="L732" s="410"/>
    </row>
    <row r="733">
      <c r="L733" s="410"/>
    </row>
    <row r="734">
      <c r="L734" s="410"/>
    </row>
    <row r="735">
      <c r="L735" s="410"/>
    </row>
    <row r="736">
      <c r="L736" s="410"/>
    </row>
    <row r="737">
      <c r="L737" s="410"/>
    </row>
    <row r="738">
      <c r="L738" s="410"/>
    </row>
    <row r="739">
      <c r="L739" s="410"/>
    </row>
    <row r="740">
      <c r="L740" s="410"/>
    </row>
    <row r="741">
      <c r="L741" s="410"/>
    </row>
    <row r="742">
      <c r="L742" s="410"/>
    </row>
    <row r="743">
      <c r="L743" s="410"/>
    </row>
    <row r="744">
      <c r="L744" s="410"/>
    </row>
    <row r="745">
      <c r="L745" s="410"/>
    </row>
    <row r="746">
      <c r="L746" s="410"/>
    </row>
    <row r="747">
      <c r="L747" s="410"/>
    </row>
    <row r="748">
      <c r="L748" s="410"/>
    </row>
    <row r="749">
      <c r="L749" s="410"/>
    </row>
    <row r="750">
      <c r="L750" s="410"/>
    </row>
    <row r="751">
      <c r="L751" s="410"/>
    </row>
    <row r="752">
      <c r="L752" s="410"/>
    </row>
    <row r="753">
      <c r="L753" s="410"/>
    </row>
    <row r="754">
      <c r="L754" s="410"/>
    </row>
    <row r="755">
      <c r="L755" s="410"/>
    </row>
    <row r="756">
      <c r="L756" s="410"/>
    </row>
    <row r="757">
      <c r="L757" s="410"/>
    </row>
    <row r="758">
      <c r="L758" s="410"/>
    </row>
    <row r="759">
      <c r="L759" s="410"/>
    </row>
    <row r="760">
      <c r="L760" s="410"/>
    </row>
    <row r="761">
      <c r="L761" s="410"/>
    </row>
    <row r="762">
      <c r="L762" s="410"/>
    </row>
    <row r="763">
      <c r="L763" s="410"/>
    </row>
    <row r="764">
      <c r="L764" s="410"/>
    </row>
    <row r="765">
      <c r="L765" s="410"/>
    </row>
    <row r="766">
      <c r="L766" s="410"/>
    </row>
    <row r="767">
      <c r="L767" s="410"/>
    </row>
    <row r="768">
      <c r="L768" s="410"/>
    </row>
    <row r="769">
      <c r="L769" s="410"/>
    </row>
    <row r="770">
      <c r="L770" s="410"/>
    </row>
    <row r="771">
      <c r="L771" s="410"/>
    </row>
    <row r="772">
      <c r="L772" s="410"/>
    </row>
    <row r="773">
      <c r="L773" s="410"/>
    </row>
    <row r="774">
      <c r="L774" s="410"/>
    </row>
    <row r="775">
      <c r="L775" s="410"/>
    </row>
    <row r="776">
      <c r="L776" s="410"/>
    </row>
    <row r="777">
      <c r="L777" s="410"/>
    </row>
    <row r="778">
      <c r="L778" s="410"/>
    </row>
    <row r="779">
      <c r="L779" s="410"/>
    </row>
    <row r="780">
      <c r="L780" s="410"/>
    </row>
    <row r="781">
      <c r="L781" s="410"/>
    </row>
    <row r="782">
      <c r="L782" s="410"/>
    </row>
    <row r="783">
      <c r="L783" s="410"/>
    </row>
    <row r="784">
      <c r="L784" s="410"/>
    </row>
    <row r="785">
      <c r="L785" s="410"/>
    </row>
    <row r="786">
      <c r="L786" s="410"/>
    </row>
    <row r="787">
      <c r="L787" s="410"/>
    </row>
    <row r="788">
      <c r="L788" s="410"/>
    </row>
    <row r="789">
      <c r="L789" s="410"/>
    </row>
    <row r="790">
      <c r="L790" s="410"/>
    </row>
    <row r="791">
      <c r="L791" s="410"/>
    </row>
    <row r="792">
      <c r="L792" s="410"/>
    </row>
    <row r="793">
      <c r="L793" s="410"/>
    </row>
    <row r="794">
      <c r="L794" s="410"/>
    </row>
    <row r="795">
      <c r="L795" s="410"/>
    </row>
    <row r="796">
      <c r="L796" s="410"/>
    </row>
    <row r="797">
      <c r="L797" s="410"/>
    </row>
    <row r="798">
      <c r="L798" s="410"/>
    </row>
    <row r="799">
      <c r="L799" s="410"/>
    </row>
    <row r="800">
      <c r="L800" s="410"/>
    </row>
    <row r="801">
      <c r="L801" s="410"/>
    </row>
    <row r="802">
      <c r="L802" s="410"/>
    </row>
    <row r="803">
      <c r="L803" s="410"/>
    </row>
    <row r="804">
      <c r="L804" s="410"/>
    </row>
    <row r="805">
      <c r="L805" s="410"/>
    </row>
    <row r="806">
      <c r="L806" s="410"/>
    </row>
    <row r="807">
      <c r="L807" s="410"/>
    </row>
    <row r="808">
      <c r="L808" s="410"/>
    </row>
    <row r="809">
      <c r="L809" s="410"/>
    </row>
    <row r="810">
      <c r="L810" s="410"/>
    </row>
    <row r="811">
      <c r="L811" s="410"/>
    </row>
    <row r="812">
      <c r="L812" s="410"/>
    </row>
    <row r="813">
      <c r="L813" s="410"/>
    </row>
    <row r="814">
      <c r="L814" s="410"/>
    </row>
    <row r="815">
      <c r="L815" s="410"/>
    </row>
    <row r="816">
      <c r="L816" s="410"/>
    </row>
    <row r="817">
      <c r="L817" s="410"/>
    </row>
    <row r="818">
      <c r="L818" s="410"/>
    </row>
    <row r="819">
      <c r="L819" s="410"/>
    </row>
    <row r="820">
      <c r="L820" s="410"/>
    </row>
    <row r="821">
      <c r="L821" s="410"/>
    </row>
    <row r="822">
      <c r="L822" s="410"/>
    </row>
    <row r="823">
      <c r="L823" s="410"/>
    </row>
    <row r="824">
      <c r="L824" s="410"/>
    </row>
    <row r="825">
      <c r="L825" s="410"/>
    </row>
    <row r="826">
      <c r="L826" s="410"/>
    </row>
    <row r="827">
      <c r="L827" s="410"/>
    </row>
    <row r="828">
      <c r="L828" s="410"/>
    </row>
    <row r="829">
      <c r="L829" s="410"/>
    </row>
    <row r="830">
      <c r="L830" s="410"/>
    </row>
    <row r="831">
      <c r="L831" s="410"/>
    </row>
    <row r="832">
      <c r="L832" s="410"/>
    </row>
    <row r="833">
      <c r="L833" s="410"/>
    </row>
    <row r="834">
      <c r="L834" s="410"/>
    </row>
    <row r="835">
      <c r="L835" s="410"/>
    </row>
    <row r="836">
      <c r="L836" s="410"/>
    </row>
    <row r="837">
      <c r="L837" s="410"/>
    </row>
    <row r="838">
      <c r="L838" s="410"/>
    </row>
    <row r="839">
      <c r="L839" s="410"/>
    </row>
    <row r="840">
      <c r="L840" s="410"/>
    </row>
    <row r="841">
      <c r="L841" s="410"/>
    </row>
    <row r="842">
      <c r="L842" s="410"/>
    </row>
    <row r="843">
      <c r="L843" s="410"/>
    </row>
    <row r="844">
      <c r="L844" s="410"/>
    </row>
    <row r="845">
      <c r="L845" s="410"/>
    </row>
    <row r="846">
      <c r="L846" s="410"/>
    </row>
    <row r="847">
      <c r="L847" s="410"/>
    </row>
    <row r="848">
      <c r="L848" s="410"/>
    </row>
    <row r="849">
      <c r="L849" s="410"/>
    </row>
    <row r="850">
      <c r="L850" s="410"/>
    </row>
    <row r="851">
      <c r="L851" s="410"/>
    </row>
    <row r="852">
      <c r="L852" s="410"/>
    </row>
    <row r="853">
      <c r="L853" s="410"/>
    </row>
    <row r="854">
      <c r="L854" s="410"/>
    </row>
    <row r="855">
      <c r="L855" s="410"/>
    </row>
    <row r="856">
      <c r="L856" s="410"/>
    </row>
    <row r="857">
      <c r="L857" s="410"/>
    </row>
    <row r="858">
      <c r="L858" s="410"/>
    </row>
    <row r="859">
      <c r="L859" s="410"/>
    </row>
    <row r="860">
      <c r="L860" s="410"/>
    </row>
    <row r="861">
      <c r="L861" s="410"/>
    </row>
    <row r="862">
      <c r="L862" s="410"/>
    </row>
    <row r="863">
      <c r="L863" s="410"/>
    </row>
    <row r="864">
      <c r="L864" s="410"/>
    </row>
    <row r="865">
      <c r="L865" s="410"/>
    </row>
    <row r="866">
      <c r="L866" s="410"/>
    </row>
    <row r="867">
      <c r="L867" s="410"/>
    </row>
    <row r="868">
      <c r="L868" s="410"/>
    </row>
    <row r="869">
      <c r="L869" s="410"/>
    </row>
    <row r="870">
      <c r="L870" s="410"/>
    </row>
    <row r="871">
      <c r="L871" s="410"/>
    </row>
    <row r="872">
      <c r="L872" s="410"/>
    </row>
    <row r="873">
      <c r="L873" s="410"/>
    </row>
    <row r="874">
      <c r="L874" s="410"/>
    </row>
    <row r="875">
      <c r="L875" s="410"/>
    </row>
    <row r="876">
      <c r="L876" s="410"/>
    </row>
    <row r="877">
      <c r="L877" s="410"/>
    </row>
    <row r="878">
      <c r="L878" s="410"/>
    </row>
    <row r="879">
      <c r="L879" s="410"/>
    </row>
    <row r="880">
      <c r="L880" s="410"/>
    </row>
    <row r="881">
      <c r="L881" s="410"/>
    </row>
    <row r="882">
      <c r="L882" s="410"/>
    </row>
    <row r="883">
      <c r="L883" s="410"/>
    </row>
    <row r="884">
      <c r="L884" s="410"/>
    </row>
    <row r="885">
      <c r="L885" s="410"/>
    </row>
    <row r="886">
      <c r="L886" s="410"/>
    </row>
    <row r="887">
      <c r="L887" s="410"/>
    </row>
    <row r="888">
      <c r="L888" s="410"/>
    </row>
    <row r="889">
      <c r="L889" s="410"/>
    </row>
    <row r="890">
      <c r="L890" s="410"/>
    </row>
    <row r="891">
      <c r="L891" s="410"/>
    </row>
    <row r="892">
      <c r="L892" s="410"/>
    </row>
    <row r="893">
      <c r="L893" s="410"/>
    </row>
    <row r="894">
      <c r="L894" s="410"/>
    </row>
    <row r="895">
      <c r="L895" s="410"/>
    </row>
    <row r="896">
      <c r="L896" s="410"/>
    </row>
    <row r="897">
      <c r="L897" s="410"/>
    </row>
    <row r="898">
      <c r="L898" s="410"/>
    </row>
    <row r="899">
      <c r="L899" s="410"/>
    </row>
    <row r="900">
      <c r="L900" s="410"/>
    </row>
    <row r="901">
      <c r="L901" s="410"/>
    </row>
    <row r="902">
      <c r="L902" s="410"/>
    </row>
    <row r="903">
      <c r="L903" s="410"/>
    </row>
    <row r="904">
      <c r="L904" s="410"/>
    </row>
    <row r="905">
      <c r="L905" s="410"/>
    </row>
    <row r="906">
      <c r="L906" s="410"/>
    </row>
    <row r="907">
      <c r="L907" s="410"/>
    </row>
    <row r="908">
      <c r="L908" s="410"/>
    </row>
    <row r="909">
      <c r="L909" s="410"/>
    </row>
    <row r="910">
      <c r="L910" s="410"/>
    </row>
    <row r="911">
      <c r="L911" s="410"/>
    </row>
    <row r="912">
      <c r="L912" s="410"/>
    </row>
    <row r="913">
      <c r="L913" s="410"/>
    </row>
    <row r="914">
      <c r="L914" s="410"/>
    </row>
    <row r="915">
      <c r="L915" s="410"/>
    </row>
    <row r="916">
      <c r="L916" s="410"/>
    </row>
    <row r="917">
      <c r="L917" s="410"/>
    </row>
    <row r="918">
      <c r="L918" s="410"/>
    </row>
    <row r="919">
      <c r="L919" s="410"/>
    </row>
    <row r="920">
      <c r="L920" s="410"/>
    </row>
    <row r="921">
      <c r="L921" s="410"/>
    </row>
    <row r="922">
      <c r="L922" s="410"/>
    </row>
    <row r="923">
      <c r="L923" s="410"/>
    </row>
    <row r="924">
      <c r="L924" s="410"/>
    </row>
    <row r="925">
      <c r="L925" s="410"/>
    </row>
    <row r="926">
      <c r="L926" s="410"/>
    </row>
    <row r="927">
      <c r="L927" s="410"/>
    </row>
    <row r="928">
      <c r="L928" s="410"/>
    </row>
    <row r="929">
      <c r="L929" s="410"/>
    </row>
    <row r="930">
      <c r="L930" s="410"/>
    </row>
    <row r="931">
      <c r="L931" s="410"/>
    </row>
    <row r="932">
      <c r="L932" s="410"/>
    </row>
    <row r="933">
      <c r="L933" s="410"/>
    </row>
    <row r="934">
      <c r="L934" s="410"/>
    </row>
    <row r="935">
      <c r="L935" s="410"/>
    </row>
    <row r="936">
      <c r="L936" s="410"/>
    </row>
    <row r="937">
      <c r="L937" s="410"/>
    </row>
    <row r="938">
      <c r="L938" s="410"/>
    </row>
    <row r="939">
      <c r="L939" s="410"/>
    </row>
    <row r="940">
      <c r="L940" s="410"/>
    </row>
    <row r="941">
      <c r="L941" s="410"/>
    </row>
    <row r="942">
      <c r="L942" s="410"/>
    </row>
    <row r="943">
      <c r="L943" s="410"/>
    </row>
    <row r="944">
      <c r="L944" s="410"/>
    </row>
    <row r="945">
      <c r="L945" s="410"/>
    </row>
    <row r="946">
      <c r="L946" s="410"/>
    </row>
    <row r="947">
      <c r="L947" s="410"/>
    </row>
    <row r="948">
      <c r="L948" s="410"/>
    </row>
    <row r="949">
      <c r="L949" s="410"/>
    </row>
    <row r="950">
      <c r="L950" s="410"/>
    </row>
    <row r="951">
      <c r="L951" s="410"/>
    </row>
    <row r="952">
      <c r="L952" s="410"/>
    </row>
    <row r="953">
      <c r="L953" s="410"/>
    </row>
    <row r="954">
      <c r="L954" s="410"/>
    </row>
    <row r="955">
      <c r="L955" s="410"/>
    </row>
    <row r="956">
      <c r="L956" s="410"/>
    </row>
    <row r="957">
      <c r="L957" s="410"/>
    </row>
    <row r="958">
      <c r="L958" s="410"/>
    </row>
    <row r="959">
      <c r="L959" s="410"/>
    </row>
    <row r="960">
      <c r="L960" s="410"/>
    </row>
    <row r="961">
      <c r="L961" s="410"/>
    </row>
    <row r="962">
      <c r="L962" s="410"/>
    </row>
    <row r="963">
      <c r="L963" s="410"/>
    </row>
    <row r="964">
      <c r="L964" s="410"/>
    </row>
    <row r="965">
      <c r="L965" s="410"/>
    </row>
    <row r="966">
      <c r="L966" s="410"/>
    </row>
    <row r="967">
      <c r="L967" s="410"/>
    </row>
    <row r="968">
      <c r="L968" s="410"/>
    </row>
    <row r="969">
      <c r="L969" s="410"/>
    </row>
    <row r="970">
      <c r="L970" s="410"/>
    </row>
    <row r="971">
      <c r="L971" s="410"/>
    </row>
    <row r="972">
      <c r="L972" s="410"/>
    </row>
    <row r="973">
      <c r="L973" s="410"/>
    </row>
    <row r="974">
      <c r="L974" s="410"/>
    </row>
    <row r="975">
      <c r="L975" s="410"/>
    </row>
    <row r="976">
      <c r="L976" s="410"/>
    </row>
    <row r="977">
      <c r="L977" s="410"/>
    </row>
    <row r="978">
      <c r="L978" s="410"/>
    </row>
    <row r="979">
      <c r="L979" s="410"/>
    </row>
    <row r="980">
      <c r="L980" s="410"/>
    </row>
    <row r="981">
      <c r="L981" s="410"/>
    </row>
    <row r="982">
      <c r="L982" s="410"/>
    </row>
    <row r="983">
      <c r="L983" s="410"/>
    </row>
    <row r="984">
      <c r="L984" s="410"/>
    </row>
    <row r="985">
      <c r="L985" s="410"/>
    </row>
    <row r="986">
      <c r="L986" s="410"/>
    </row>
    <row r="987">
      <c r="L987" s="410"/>
    </row>
    <row r="988">
      <c r="L988" s="410"/>
    </row>
    <row r="989">
      <c r="L989" s="410"/>
    </row>
    <row r="990">
      <c r="L990" s="410"/>
    </row>
    <row r="991">
      <c r="L991" s="410"/>
    </row>
    <row r="992">
      <c r="L992" s="410"/>
    </row>
    <row r="993">
      <c r="L993" s="410"/>
    </row>
    <row r="994">
      <c r="L994" s="410"/>
    </row>
    <row r="995">
      <c r="L995" s="410"/>
    </row>
    <row r="996">
      <c r="L996" s="410"/>
    </row>
  </sheetData>
  <mergeCells count="49">
    <mergeCell ref="J6:J7"/>
    <mergeCell ref="K6:K7"/>
    <mergeCell ref="C2:N2"/>
    <mergeCell ref="B6:B7"/>
    <mergeCell ref="C6:C7"/>
    <mergeCell ref="D6:D7"/>
    <mergeCell ref="E6:E7"/>
    <mergeCell ref="F6:F7"/>
    <mergeCell ref="G6:G7"/>
    <mergeCell ref="L6:L7"/>
    <mergeCell ref="G15:G16"/>
    <mergeCell ref="H15:H16"/>
    <mergeCell ref="J15:J16"/>
    <mergeCell ref="K15:K16"/>
    <mergeCell ref="L15:L16"/>
    <mergeCell ref="N15:N16"/>
    <mergeCell ref="H6:H7"/>
    <mergeCell ref="I6:I7"/>
    <mergeCell ref="C15:C16"/>
    <mergeCell ref="D15:D16"/>
    <mergeCell ref="E15:E16"/>
    <mergeCell ref="F15:F16"/>
    <mergeCell ref="I15:I16"/>
    <mergeCell ref="H18:H19"/>
    <mergeCell ref="I18:I19"/>
    <mergeCell ref="J18:J19"/>
    <mergeCell ref="K18:K19"/>
    <mergeCell ref="L18:L19"/>
    <mergeCell ref="N18:N19"/>
    <mergeCell ref="B15:B16"/>
    <mergeCell ref="B18:B19"/>
    <mergeCell ref="C18:C19"/>
    <mergeCell ref="D18:D19"/>
    <mergeCell ref="E18:E19"/>
    <mergeCell ref="F18:F19"/>
    <mergeCell ref="G18:G19"/>
    <mergeCell ref="H26:H27"/>
    <mergeCell ref="I26:I27"/>
    <mergeCell ref="J26:J27"/>
    <mergeCell ref="K26:K27"/>
    <mergeCell ref="L26:L27"/>
    <mergeCell ref="M26:M27"/>
    <mergeCell ref="A26:A27"/>
    <mergeCell ref="B26:B27"/>
    <mergeCell ref="C26:C27"/>
    <mergeCell ref="D26:D27"/>
    <mergeCell ref="E26:E27"/>
    <mergeCell ref="F26:F27"/>
    <mergeCell ref="G26:G27"/>
  </mergeCells>
  <hyperlinks>
    <hyperlink r:id="rId1" ref="B1"/>
    <hyperlink r:id="rId2" ref="B2"/>
    <hyperlink r:id="rId3" location="slide=id.gd0fbd4c1e7_3_214" ref="M5"/>
    <hyperlink r:id="rId4" ref="M6"/>
    <hyperlink r:id="rId5" location="slide=id.gd0fbd4c1e7_3_214" ref="M7"/>
    <hyperlink r:id="rId6" location="gid=644099024" ref="M8"/>
    <hyperlink r:id="rId7" ref="M9"/>
    <hyperlink r:id="rId8" ref="M10"/>
    <hyperlink r:id="rId9" ref="N10"/>
    <hyperlink r:id="rId10" ref="M11"/>
    <hyperlink r:id="rId11" location="Trafficking101-Youtube" ref="M14"/>
    <hyperlink r:id="rId12" ref="N14"/>
    <hyperlink r:id="rId13" location="gid=2144868993" ref="M15"/>
    <hyperlink r:id="rId14" ref="M16"/>
    <hyperlink r:id="rId15" location="PlatformConversionPixelGeneration-AdOperations" ref="M18"/>
    <hyperlink r:id="rId16" location="slide=id.gd0b4d203b3_0_21" ref="M19"/>
    <hyperlink r:id="rId17" ref="M20"/>
    <hyperlink r:id="rId18" ref="N21"/>
    <hyperlink r:id="rId19" location="gid=1399114443" ref="M22"/>
    <hyperlink r:id="rId20" ref="L24"/>
    <hyperlink r:id="rId21" ref="M24"/>
    <hyperlink r:id="rId22" ref="M25"/>
    <hyperlink r:id="rId23" ref="N25"/>
    <hyperlink r:id="rId24" ref="M26"/>
    <hyperlink r:id="rId25" ref="N26"/>
    <hyperlink r:id="rId26" ref="N27"/>
    <hyperlink r:id="rId27" ref="M28"/>
    <hyperlink r:id="rId28" ref="N28"/>
  </hyperlinks>
  <drawing r:id="rId29"/>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
    <col customWidth="1" min="2" max="2" width="39.63"/>
    <col customWidth="1" min="3" max="3" width="22.13"/>
    <col customWidth="1" min="4" max="4" width="59.75"/>
    <col customWidth="1" min="5" max="5" width="14.38"/>
    <col customWidth="1" min="6" max="6" width="57.38"/>
  </cols>
  <sheetData>
    <row r="1">
      <c r="A1" s="301"/>
      <c r="B1" s="301"/>
      <c r="C1" s="301"/>
      <c r="D1" s="301"/>
      <c r="E1" s="301"/>
      <c r="F1" s="302"/>
      <c r="G1" s="302"/>
      <c r="H1" s="302"/>
      <c r="I1" s="302"/>
      <c r="J1" s="302"/>
      <c r="K1" s="302"/>
      <c r="L1" s="302"/>
      <c r="M1" s="302"/>
      <c r="N1" s="302"/>
      <c r="O1" s="302"/>
      <c r="P1" s="302"/>
      <c r="Q1" s="302"/>
      <c r="R1" s="302"/>
      <c r="S1" s="302"/>
      <c r="T1" s="302"/>
      <c r="U1" s="302"/>
      <c r="V1" s="302"/>
      <c r="W1" s="302"/>
      <c r="X1" s="302"/>
      <c r="Y1" s="302"/>
      <c r="Z1" s="302"/>
      <c r="AA1" s="302"/>
    </row>
    <row r="2">
      <c r="A2" s="301"/>
      <c r="B2" s="303" t="s">
        <v>857</v>
      </c>
      <c r="C2" s="160"/>
      <c r="D2" s="160"/>
      <c r="E2" s="161"/>
      <c r="F2" s="304"/>
      <c r="G2" s="302"/>
      <c r="H2" s="302"/>
      <c r="I2" s="302"/>
      <c r="J2" s="302"/>
      <c r="K2" s="302"/>
      <c r="L2" s="302"/>
      <c r="M2" s="302"/>
      <c r="N2" s="302"/>
      <c r="O2" s="302"/>
      <c r="P2" s="302"/>
      <c r="Q2" s="302"/>
      <c r="R2" s="302"/>
      <c r="S2" s="302"/>
      <c r="T2" s="302"/>
      <c r="U2" s="302"/>
      <c r="V2" s="302"/>
      <c r="W2" s="302"/>
      <c r="X2" s="302"/>
      <c r="Y2" s="302"/>
      <c r="Z2" s="302"/>
      <c r="AA2" s="302"/>
    </row>
    <row r="3">
      <c r="A3" s="305"/>
      <c r="B3" s="611" t="s">
        <v>157</v>
      </c>
      <c r="C3" s="611" t="s">
        <v>158</v>
      </c>
      <c r="D3" s="611" t="s">
        <v>159</v>
      </c>
      <c r="E3" s="611" t="s">
        <v>515</v>
      </c>
      <c r="F3" s="611" t="s">
        <v>858</v>
      </c>
      <c r="G3" s="302"/>
      <c r="H3" s="302"/>
      <c r="I3" s="302"/>
      <c r="J3" s="302"/>
      <c r="K3" s="302"/>
      <c r="L3" s="302"/>
      <c r="M3" s="302"/>
      <c r="N3" s="302"/>
      <c r="O3" s="302"/>
      <c r="P3" s="302"/>
      <c r="Q3" s="302"/>
      <c r="R3" s="302"/>
      <c r="S3" s="302"/>
      <c r="T3" s="302"/>
      <c r="U3" s="302"/>
      <c r="V3" s="302"/>
      <c r="W3" s="302"/>
      <c r="X3" s="302"/>
      <c r="Y3" s="302"/>
      <c r="Z3" s="302"/>
      <c r="AA3" s="302"/>
    </row>
    <row r="4">
      <c r="A4" s="222"/>
      <c r="B4" s="612" t="s">
        <v>187</v>
      </c>
      <c r="C4" s="309" t="s">
        <v>31</v>
      </c>
      <c r="D4" s="310" t="s">
        <v>518</v>
      </c>
      <c r="E4" s="311" t="s">
        <v>181</v>
      </c>
      <c r="F4" s="312"/>
    </row>
    <row r="5">
      <c r="A5" s="222"/>
      <c r="B5" s="313" t="s">
        <v>519</v>
      </c>
      <c r="C5" s="314" t="s">
        <v>192</v>
      </c>
      <c r="D5" s="315" t="s">
        <v>190</v>
      </c>
      <c r="E5" s="316" t="s">
        <v>181</v>
      </c>
      <c r="F5" s="329" t="s">
        <v>859</v>
      </c>
    </row>
    <row r="6">
      <c r="A6" s="222"/>
      <c r="B6" s="318" t="s">
        <v>520</v>
      </c>
      <c r="C6" s="319" t="s">
        <v>192</v>
      </c>
      <c r="D6" s="320" t="s">
        <v>521</v>
      </c>
      <c r="E6" s="321" t="s">
        <v>181</v>
      </c>
      <c r="F6" s="312"/>
    </row>
    <row r="7">
      <c r="A7" s="222"/>
      <c r="B7" s="313" t="s">
        <v>522</v>
      </c>
      <c r="C7" s="314" t="s">
        <v>192</v>
      </c>
      <c r="D7" s="323" t="s">
        <v>523</v>
      </c>
      <c r="E7" s="316" t="s">
        <v>181</v>
      </c>
      <c r="F7" s="317"/>
    </row>
    <row r="8">
      <c r="A8" s="222"/>
      <c r="B8" s="318" t="s">
        <v>524</v>
      </c>
      <c r="C8" s="319" t="s">
        <v>197</v>
      </c>
      <c r="D8" s="322" t="s">
        <v>525</v>
      </c>
      <c r="E8" s="321" t="s">
        <v>181</v>
      </c>
      <c r="F8" s="324" t="s">
        <v>860</v>
      </c>
    </row>
    <row r="9">
      <c r="A9" s="222"/>
      <c r="B9" s="313" t="s">
        <v>199</v>
      </c>
      <c r="C9" s="314" t="s">
        <v>192</v>
      </c>
      <c r="D9" s="315" t="s">
        <v>861</v>
      </c>
      <c r="E9" s="316" t="s">
        <v>181</v>
      </c>
      <c r="F9" s="329"/>
    </row>
    <row r="10">
      <c r="A10" s="222"/>
      <c r="B10" s="318" t="s">
        <v>527</v>
      </c>
      <c r="C10" s="319" t="s">
        <v>192</v>
      </c>
      <c r="D10" s="321" t="s">
        <v>528</v>
      </c>
      <c r="E10" s="321" t="s">
        <v>181</v>
      </c>
      <c r="F10" s="312"/>
    </row>
    <row r="11">
      <c r="A11" s="222"/>
      <c r="B11" s="313" t="s">
        <v>203</v>
      </c>
      <c r="C11" s="314" t="s">
        <v>192</v>
      </c>
      <c r="D11" s="316" t="s">
        <v>529</v>
      </c>
      <c r="E11" s="316" t="s">
        <v>181</v>
      </c>
      <c r="F11" s="317"/>
    </row>
    <row r="12">
      <c r="A12" s="222"/>
      <c r="B12" s="318" t="s">
        <v>205</v>
      </c>
      <c r="C12" s="319" t="s">
        <v>192</v>
      </c>
      <c r="D12" s="322" t="s">
        <v>530</v>
      </c>
      <c r="E12" s="321" t="s">
        <v>181</v>
      </c>
      <c r="F12" s="324"/>
    </row>
    <row r="13">
      <c r="A13" s="222"/>
      <c r="B13" s="313" t="s">
        <v>837</v>
      </c>
      <c r="C13" s="314" t="s">
        <v>192</v>
      </c>
      <c r="D13" s="315" t="s">
        <v>862</v>
      </c>
      <c r="E13" s="316" t="s">
        <v>181</v>
      </c>
      <c r="F13" s="329" t="s">
        <v>863</v>
      </c>
    </row>
    <row r="14">
      <c r="A14" s="222"/>
      <c r="B14" s="318" t="s">
        <v>215</v>
      </c>
      <c r="C14" s="319" t="s">
        <v>183</v>
      </c>
      <c r="D14" s="320" t="s">
        <v>864</v>
      </c>
      <c r="E14" s="321" t="s">
        <v>181</v>
      </c>
      <c r="F14" s="312"/>
    </row>
    <row r="15">
      <c r="A15" s="222"/>
      <c r="B15" s="313" t="s">
        <v>78</v>
      </c>
      <c r="C15" s="314" t="s">
        <v>183</v>
      </c>
      <c r="D15" s="315" t="s">
        <v>865</v>
      </c>
      <c r="E15" s="316" t="s">
        <v>181</v>
      </c>
      <c r="F15" s="329" t="s">
        <v>866</v>
      </c>
    </row>
    <row r="16">
      <c r="A16" s="222"/>
      <c r="B16" s="318" t="s">
        <v>21</v>
      </c>
      <c r="C16" s="319" t="s">
        <v>19</v>
      </c>
      <c r="D16" s="322" t="s">
        <v>219</v>
      </c>
      <c r="E16" s="321" t="s">
        <v>181</v>
      </c>
      <c r="F16" s="312"/>
    </row>
    <row r="17">
      <c r="A17" s="222"/>
      <c r="B17" s="313" t="s">
        <v>220</v>
      </c>
      <c r="C17" s="314" t="s">
        <v>183</v>
      </c>
      <c r="D17" s="323" t="s">
        <v>536</v>
      </c>
      <c r="E17" s="316" t="s">
        <v>181</v>
      </c>
      <c r="F17" s="317"/>
    </row>
    <row r="18">
      <c r="A18" s="222"/>
      <c r="B18" s="615" t="s">
        <v>222</v>
      </c>
      <c r="C18" s="616" t="s">
        <v>183</v>
      </c>
      <c r="D18" s="617" t="s">
        <v>536</v>
      </c>
      <c r="E18" s="618" t="s">
        <v>181</v>
      </c>
      <c r="F18" s="312"/>
    </row>
    <row r="20">
      <c r="A20" s="222"/>
      <c r="B20" s="222" t="s">
        <v>256</v>
      </c>
      <c r="C20" s="222" t="s">
        <v>192</v>
      </c>
      <c r="D20" s="330" t="s">
        <v>867</v>
      </c>
    </row>
  </sheetData>
  <mergeCells count="1">
    <mergeCell ref="B2:E2"/>
  </mergeCells>
  <dataValidations>
    <dataValidation type="list" allowBlank="1" showErrorMessage="1" sqref="E4:E18">
      <formula1>"Backlog,In Progress,Completed,Blocked"</formula1>
    </dataValidation>
  </dataValidations>
  <hyperlinks>
    <hyperlink r:id="rId1" ref="D4"/>
    <hyperlink r:id="rId2" ref="D5"/>
    <hyperlink r:id="rId3" ref="D6"/>
    <hyperlink r:id="rId4" ref="D9"/>
    <hyperlink r:id="rId5" ref="D13"/>
    <hyperlink r:id="rId6" ref="D14"/>
    <hyperlink r:id="rId7" ref="D15"/>
    <hyperlink r:id="rId8" ref="D20"/>
  </hyperlinks>
  <drawing r:id="rId9"/>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3" width="18.5"/>
    <col customWidth="1" min="4" max="4" width="17.63"/>
  </cols>
  <sheetData>
    <row r="1">
      <c r="A1" s="627" t="s">
        <v>868</v>
      </c>
      <c r="B1" s="627" t="s">
        <v>31</v>
      </c>
      <c r="C1" s="627" t="s">
        <v>869</v>
      </c>
      <c r="D1" s="627" t="s">
        <v>870</v>
      </c>
    </row>
    <row r="2">
      <c r="A2" s="217" t="s">
        <v>871</v>
      </c>
      <c r="B2" s="217" t="s">
        <v>872</v>
      </c>
      <c r="C2" s="628">
        <v>45467.0</v>
      </c>
      <c r="D2" s="628">
        <v>45482.0</v>
      </c>
    </row>
    <row r="3">
      <c r="A3" s="217" t="s">
        <v>873</v>
      </c>
      <c r="B3" s="217" t="s">
        <v>874</v>
      </c>
      <c r="C3" s="628">
        <v>45481.0</v>
      </c>
      <c r="D3" s="628">
        <v>45481.0</v>
      </c>
    </row>
    <row r="4">
      <c r="A4" s="217" t="s">
        <v>875</v>
      </c>
      <c r="B4" s="217" t="s">
        <v>874</v>
      </c>
      <c r="C4" s="628">
        <v>45502.0</v>
      </c>
      <c r="D4" s="629"/>
    </row>
    <row r="5">
      <c r="A5" s="217" t="s">
        <v>876</v>
      </c>
      <c r="B5" s="217" t="s">
        <v>872</v>
      </c>
      <c r="C5" s="628">
        <v>45523.0</v>
      </c>
      <c r="D5" s="629"/>
    </row>
    <row r="6">
      <c r="A6" s="630"/>
      <c r="B6" s="630"/>
      <c r="C6" s="629"/>
      <c r="D6" s="629"/>
    </row>
    <row r="7">
      <c r="A7" s="630"/>
      <c r="B7" s="630"/>
      <c r="C7" s="629"/>
      <c r="D7" s="629"/>
    </row>
    <row r="8">
      <c r="A8" s="630"/>
      <c r="B8" s="630"/>
      <c r="C8" s="629"/>
      <c r="D8" s="629"/>
    </row>
    <row r="9">
      <c r="A9" s="630"/>
      <c r="B9" s="630"/>
      <c r="C9" s="629"/>
      <c r="D9" s="629"/>
    </row>
    <row r="10">
      <c r="A10" s="630"/>
      <c r="B10" s="630"/>
      <c r="C10" s="629"/>
      <c r="D10" s="629"/>
    </row>
    <row r="11">
      <c r="A11" s="630"/>
      <c r="B11" s="630"/>
      <c r="C11" s="629"/>
      <c r="D11" s="629"/>
    </row>
    <row r="12">
      <c r="A12" s="630"/>
      <c r="B12" s="630"/>
      <c r="C12" s="630"/>
      <c r="D12" s="630"/>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1.63"/>
    <col customWidth="1" min="3" max="3" width="63.25"/>
  </cols>
  <sheetData>
    <row r="1" ht="7.5" customHeight="1">
      <c r="A1" s="170"/>
      <c r="B1" s="170"/>
      <c r="C1" s="170"/>
      <c r="D1" s="170"/>
      <c r="E1" s="170"/>
      <c r="F1" s="170"/>
      <c r="G1" s="170"/>
      <c r="H1" s="170"/>
      <c r="I1" s="170"/>
      <c r="J1" s="170"/>
      <c r="K1" s="170"/>
      <c r="L1" s="170"/>
      <c r="M1" s="170"/>
      <c r="N1" s="170"/>
      <c r="O1" s="170"/>
      <c r="P1" s="170"/>
      <c r="Q1" s="170"/>
      <c r="R1" s="170"/>
      <c r="S1" s="170"/>
      <c r="T1" s="170"/>
      <c r="U1" s="170"/>
      <c r="V1" s="170"/>
      <c r="W1" s="170"/>
      <c r="X1" s="170"/>
    </row>
    <row r="2">
      <c r="A2" s="170"/>
      <c r="B2" s="631" t="s">
        <v>877</v>
      </c>
      <c r="C2" s="632"/>
      <c r="D2" s="170"/>
      <c r="E2" s="170"/>
      <c r="F2" s="170"/>
      <c r="G2" s="170"/>
      <c r="H2" s="170"/>
      <c r="I2" s="170"/>
      <c r="J2" s="170"/>
      <c r="K2" s="170"/>
      <c r="L2" s="170"/>
      <c r="M2" s="170"/>
      <c r="N2" s="170"/>
      <c r="O2" s="170"/>
      <c r="P2" s="170"/>
      <c r="Q2" s="170"/>
      <c r="R2" s="170"/>
      <c r="S2" s="170"/>
      <c r="T2" s="170"/>
      <c r="U2" s="170"/>
      <c r="V2" s="170"/>
      <c r="W2" s="170"/>
      <c r="X2" s="170"/>
    </row>
    <row r="3">
      <c r="A3" s="170"/>
      <c r="B3" s="163" t="s">
        <v>878</v>
      </c>
      <c r="C3" s="633" t="s">
        <v>158</v>
      </c>
      <c r="D3" s="170"/>
      <c r="E3" s="170"/>
      <c r="F3" s="170"/>
      <c r="G3" s="170"/>
      <c r="H3" s="170"/>
      <c r="I3" s="170"/>
      <c r="J3" s="170"/>
      <c r="K3" s="170"/>
      <c r="L3" s="170"/>
      <c r="M3" s="170"/>
      <c r="N3" s="170"/>
      <c r="O3" s="170"/>
      <c r="P3" s="170"/>
      <c r="Q3" s="170"/>
      <c r="R3" s="170"/>
      <c r="S3" s="170"/>
      <c r="T3" s="170"/>
      <c r="U3" s="170"/>
      <c r="V3" s="170"/>
      <c r="W3" s="170"/>
      <c r="X3" s="170"/>
    </row>
    <row r="4">
      <c r="A4" s="170"/>
      <c r="B4" s="634" t="s">
        <v>879</v>
      </c>
      <c r="C4" s="635" t="s">
        <v>880</v>
      </c>
      <c r="D4" s="170"/>
      <c r="E4" s="170"/>
      <c r="F4" s="170"/>
      <c r="G4" s="170"/>
      <c r="H4" s="170"/>
      <c r="I4" s="170"/>
      <c r="J4" s="170"/>
      <c r="K4" s="170"/>
      <c r="L4" s="170"/>
      <c r="M4" s="170"/>
      <c r="N4" s="170"/>
      <c r="O4" s="170"/>
      <c r="P4" s="170"/>
      <c r="Q4" s="170"/>
      <c r="R4" s="170"/>
      <c r="S4" s="170"/>
      <c r="T4" s="170"/>
      <c r="U4" s="170"/>
      <c r="V4" s="170"/>
      <c r="W4" s="170"/>
      <c r="X4" s="170"/>
    </row>
    <row r="5">
      <c r="A5" s="170"/>
      <c r="B5" s="636" t="s">
        <v>879</v>
      </c>
      <c r="C5" s="637" t="s">
        <v>881</v>
      </c>
      <c r="D5" s="170"/>
      <c r="E5" s="170"/>
      <c r="F5" s="170"/>
      <c r="G5" s="170"/>
      <c r="H5" s="170"/>
      <c r="I5" s="170"/>
      <c r="J5" s="170"/>
      <c r="K5" s="170"/>
      <c r="L5" s="170"/>
      <c r="M5" s="170"/>
      <c r="N5" s="170"/>
      <c r="O5" s="170"/>
      <c r="P5" s="170"/>
      <c r="Q5" s="170"/>
      <c r="R5" s="170"/>
      <c r="S5" s="170"/>
      <c r="T5" s="170"/>
      <c r="U5" s="170"/>
      <c r="V5" s="170"/>
      <c r="W5" s="170"/>
      <c r="X5" s="170"/>
    </row>
    <row r="6">
      <c r="A6" s="170"/>
      <c r="B6" s="634" t="s">
        <v>879</v>
      </c>
      <c r="C6" s="638" t="s">
        <v>882</v>
      </c>
      <c r="D6" s="170"/>
      <c r="E6" s="170"/>
      <c r="F6" s="170"/>
      <c r="G6" s="170"/>
      <c r="H6" s="170"/>
      <c r="I6" s="170"/>
      <c r="J6" s="170"/>
      <c r="K6" s="170"/>
      <c r="L6" s="170"/>
      <c r="M6" s="170"/>
      <c r="N6" s="170"/>
      <c r="O6" s="170"/>
      <c r="P6" s="170"/>
      <c r="Q6" s="170"/>
      <c r="R6" s="170"/>
      <c r="S6" s="170"/>
      <c r="T6" s="170"/>
      <c r="U6" s="170"/>
      <c r="V6" s="170"/>
      <c r="W6" s="170"/>
      <c r="X6" s="170"/>
    </row>
    <row r="7">
      <c r="A7" s="170"/>
      <c r="B7" s="636" t="s">
        <v>879</v>
      </c>
      <c r="C7" s="637" t="s">
        <v>883</v>
      </c>
      <c r="D7" s="170"/>
      <c r="E7" s="170"/>
      <c r="F7" s="170"/>
      <c r="G7" s="170"/>
      <c r="H7" s="170"/>
      <c r="I7" s="170"/>
      <c r="J7" s="170"/>
      <c r="K7" s="170"/>
      <c r="L7" s="170"/>
      <c r="M7" s="170"/>
      <c r="N7" s="170"/>
      <c r="O7" s="170"/>
      <c r="P7" s="170"/>
      <c r="Q7" s="170"/>
      <c r="R7" s="170"/>
      <c r="S7" s="170"/>
      <c r="T7" s="170"/>
      <c r="U7" s="170"/>
      <c r="V7" s="170"/>
      <c r="W7" s="170"/>
      <c r="X7" s="170"/>
    </row>
    <row r="8">
      <c r="A8" s="170"/>
      <c r="B8" s="634" t="s">
        <v>879</v>
      </c>
      <c r="C8" s="638" t="s">
        <v>884</v>
      </c>
      <c r="D8" s="170"/>
      <c r="E8" s="170"/>
      <c r="F8" s="170"/>
      <c r="G8" s="170"/>
      <c r="H8" s="170"/>
      <c r="I8" s="170"/>
      <c r="J8" s="170"/>
      <c r="K8" s="170"/>
      <c r="L8" s="170"/>
      <c r="M8" s="170"/>
      <c r="N8" s="170"/>
      <c r="O8" s="170"/>
      <c r="P8" s="170"/>
      <c r="Q8" s="170"/>
      <c r="R8" s="170"/>
      <c r="S8" s="170"/>
      <c r="T8" s="170"/>
      <c r="U8" s="170"/>
      <c r="V8" s="170"/>
      <c r="W8" s="170"/>
      <c r="X8" s="170"/>
    </row>
    <row r="9">
      <c r="A9" s="170"/>
      <c r="B9" s="636" t="s">
        <v>879</v>
      </c>
      <c r="C9" s="636" t="s">
        <v>882</v>
      </c>
      <c r="D9" s="170"/>
      <c r="E9" s="170"/>
      <c r="F9" s="170"/>
      <c r="G9" s="170"/>
      <c r="H9" s="170"/>
      <c r="I9" s="170"/>
      <c r="J9" s="170"/>
      <c r="K9" s="170"/>
      <c r="L9" s="170"/>
      <c r="M9" s="170"/>
      <c r="N9" s="170"/>
      <c r="O9" s="170"/>
      <c r="P9" s="170"/>
      <c r="Q9" s="170"/>
      <c r="R9" s="170"/>
      <c r="S9" s="170"/>
      <c r="T9" s="170"/>
      <c r="U9" s="170"/>
      <c r="V9" s="170"/>
      <c r="W9" s="170"/>
      <c r="X9" s="170"/>
    </row>
    <row r="10">
      <c r="A10" s="170"/>
      <c r="B10" s="634" t="s">
        <v>879</v>
      </c>
      <c r="C10" s="634" t="s">
        <v>885</v>
      </c>
      <c r="D10" s="170"/>
      <c r="E10" s="170"/>
      <c r="F10" s="170"/>
      <c r="G10" s="170"/>
      <c r="H10" s="170"/>
      <c r="I10" s="170"/>
      <c r="J10" s="170"/>
      <c r="K10" s="170"/>
      <c r="L10" s="170"/>
      <c r="M10" s="170"/>
      <c r="N10" s="170"/>
      <c r="O10" s="170"/>
      <c r="P10" s="170"/>
      <c r="Q10" s="170"/>
      <c r="R10" s="170"/>
      <c r="S10" s="170"/>
      <c r="T10" s="170"/>
      <c r="U10" s="170"/>
      <c r="V10" s="170"/>
      <c r="W10" s="170"/>
      <c r="X10" s="170"/>
    </row>
    <row r="11">
      <c r="A11" s="170"/>
      <c r="B11" s="636" t="s">
        <v>879</v>
      </c>
      <c r="C11" s="636" t="s">
        <v>886</v>
      </c>
      <c r="D11" s="170"/>
      <c r="E11" s="170"/>
      <c r="F11" s="170"/>
      <c r="G11" s="170"/>
      <c r="H11" s="170"/>
      <c r="I11" s="170"/>
      <c r="J11" s="170"/>
      <c r="K11" s="170"/>
      <c r="L11" s="170"/>
      <c r="M11" s="170"/>
      <c r="N11" s="170"/>
      <c r="O11" s="170"/>
      <c r="P11" s="170"/>
      <c r="Q11" s="170"/>
      <c r="R11" s="170"/>
      <c r="S11" s="170"/>
      <c r="T11" s="170"/>
      <c r="U11" s="170"/>
      <c r="V11" s="170"/>
      <c r="W11" s="170"/>
      <c r="X11" s="170"/>
    </row>
    <row r="12">
      <c r="A12" s="170"/>
      <c r="B12" s="634" t="s">
        <v>879</v>
      </c>
      <c r="C12" s="634" t="s">
        <v>887</v>
      </c>
      <c r="D12" s="170"/>
      <c r="E12" s="170"/>
      <c r="F12" s="170"/>
      <c r="G12" s="170"/>
      <c r="H12" s="170"/>
      <c r="I12" s="170"/>
      <c r="J12" s="170"/>
      <c r="K12" s="170"/>
      <c r="L12" s="170"/>
      <c r="M12" s="170"/>
      <c r="N12" s="170"/>
      <c r="O12" s="170"/>
      <c r="P12" s="170"/>
      <c r="Q12" s="170"/>
      <c r="R12" s="170"/>
      <c r="S12" s="170"/>
      <c r="T12" s="170"/>
      <c r="U12" s="170"/>
      <c r="V12" s="170"/>
      <c r="W12" s="170"/>
      <c r="X12" s="170"/>
    </row>
    <row r="13">
      <c r="A13" s="170"/>
      <c r="B13" s="636" t="s">
        <v>879</v>
      </c>
      <c r="C13" s="636" t="s">
        <v>888</v>
      </c>
      <c r="D13" s="170"/>
      <c r="E13" s="170"/>
      <c r="F13" s="170"/>
      <c r="G13" s="170"/>
      <c r="H13" s="170"/>
      <c r="I13" s="170"/>
      <c r="J13" s="170"/>
      <c r="K13" s="170"/>
      <c r="L13" s="170"/>
      <c r="M13" s="170"/>
      <c r="N13" s="170"/>
      <c r="O13" s="170"/>
      <c r="P13" s="170"/>
      <c r="Q13" s="170"/>
      <c r="R13" s="170"/>
      <c r="S13" s="170"/>
      <c r="T13" s="170"/>
      <c r="U13" s="170"/>
      <c r="V13" s="170"/>
      <c r="W13" s="170"/>
      <c r="X13" s="170"/>
    </row>
    <row r="14">
      <c r="A14" s="170"/>
      <c r="B14" s="639" t="s">
        <v>879</v>
      </c>
      <c r="C14" s="639" t="s">
        <v>889</v>
      </c>
      <c r="D14" s="170"/>
      <c r="E14" s="170"/>
      <c r="F14" s="170"/>
      <c r="G14" s="170"/>
      <c r="H14" s="170"/>
      <c r="I14" s="170"/>
      <c r="J14" s="170"/>
      <c r="K14" s="170"/>
      <c r="L14" s="170"/>
      <c r="M14" s="170"/>
      <c r="N14" s="170"/>
      <c r="O14" s="170"/>
      <c r="P14" s="170"/>
      <c r="Q14" s="170"/>
      <c r="R14" s="170"/>
      <c r="S14" s="170"/>
      <c r="T14" s="170"/>
      <c r="U14" s="170"/>
      <c r="V14" s="170"/>
      <c r="W14" s="170"/>
      <c r="X14" s="170"/>
    </row>
    <row r="15">
      <c r="A15" s="170"/>
      <c r="B15" s="636" t="s">
        <v>890</v>
      </c>
      <c r="C15" s="636" t="s">
        <v>891</v>
      </c>
      <c r="D15" s="170"/>
      <c r="E15" s="170"/>
      <c r="F15" s="170"/>
      <c r="G15" s="170"/>
      <c r="H15" s="170"/>
      <c r="I15" s="170"/>
      <c r="J15" s="170"/>
      <c r="K15" s="170"/>
      <c r="L15" s="170"/>
      <c r="M15" s="170"/>
      <c r="N15" s="170"/>
      <c r="O15" s="170"/>
      <c r="P15" s="170"/>
      <c r="Q15" s="170"/>
      <c r="R15" s="170"/>
      <c r="S15" s="170"/>
      <c r="T15" s="170"/>
      <c r="U15" s="170"/>
      <c r="V15" s="170"/>
      <c r="W15" s="170"/>
      <c r="X15" s="170"/>
    </row>
    <row r="16">
      <c r="A16" s="170"/>
      <c r="B16" s="639" t="s">
        <v>890</v>
      </c>
      <c r="C16" s="639" t="s">
        <v>892</v>
      </c>
      <c r="D16" s="170"/>
      <c r="E16" s="170"/>
      <c r="F16" s="170"/>
      <c r="G16" s="170"/>
      <c r="H16" s="170"/>
      <c r="I16" s="170"/>
      <c r="J16" s="170"/>
      <c r="K16" s="170"/>
      <c r="L16" s="170"/>
      <c r="M16" s="170"/>
      <c r="N16" s="170"/>
      <c r="O16" s="170"/>
      <c r="P16" s="170"/>
      <c r="Q16" s="170"/>
      <c r="R16" s="170"/>
      <c r="S16" s="170"/>
      <c r="T16" s="170"/>
      <c r="U16" s="170"/>
      <c r="V16" s="170"/>
      <c r="W16" s="170"/>
      <c r="X16" s="170"/>
    </row>
    <row r="17">
      <c r="A17" s="170"/>
      <c r="B17" s="640"/>
      <c r="C17" s="640"/>
      <c r="D17" s="170"/>
      <c r="E17" s="170"/>
      <c r="F17" s="170"/>
      <c r="G17" s="170"/>
      <c r="H17" s="170"/>
      <c r="I17" s="170"/>
      <c r="J17" s="170"/>
      <c r="K17" s="170"/>
      <c r="L17" s="170"/>
      <c r="M17" s="170"/>
      <c r="N17" s="170"/>
      <c r="O17" s="170"/>
      <c r="P17" s="170"/>
      <c r="Q17" s="170"/>
      <c r="R17" s="170"/>
      <c r="S17" s="170"/>
      <c r="T17" s="170"/>
      <c r="U17" s="170"/>
      <c r="V17" s="170"/>
      <c r="W17" s="170"/>
      <c r="X17" s="170"/>
    </row>
    <row r="18">
      <c r="A18" s="170"/>
      <c r="B18" s="170"/>
      <c r="C18" s="170"/>
      <c r="D18" s="170"/>
      <c r="E18" s="170"/>
      <c r="F18" s="170"/>
      <c r="G18" s="170"/>
      <c r="H18" s="170"/>
      <c r="I18" s="170"/>
      <c r="J18" s="170"/>
      <c r="K18" s="170"/>
      <c r="L18" s="170"/>
      <c r="M18" s="170"/>
      <c r="N18" s="170"/>
      <c r="O18" s="170"/>
      <c r="P18" s="170"/>
      <c r="Q18" s="170"/>
      <c r="R18" s="170"/>
      <c r="S18" s="170"/>
      <c r="T18" s="170"/>
      <c r="U18" s="170"/>
      <c r="V18" s="170"/>
      <c r="W18" s="170"/>
      <c r="X18" s="170"/>
    </row>
    <row r="19">
      <c r="A19" s="170"/>
      <c r="B19" s="170"/>
      <c r="C19" s="170"/>
      <c r="D19" s="170"/>
      <c r="E19" s="170"/>
      <c r="F19" s="170"/>
      <c r="G19" s="170"/>
      <c r="H19" s="170"/>
      <c r="I19" s="170"/>
      <c r="J19" s="170"/>
      <c r="K19" s="170"/>
      <c r="L19" s="170"/>
      <c r="M19" s="170"/>
      <c r="N19" s="170"/>
      <c r="O19" s="170"/>
      <c r="P19" s="170"/>
      <c r="Q19" s="170"/>
      <c r="R19" s="170"/>
      <c r="S19" s="170"/>
      <c r="T19" s="170"/>
      <c r="U19" s="170"/>
      <c r="V19" s="170"/>
      <c r="W19" s="170"/>
      <c r="X19" s="170"/>
    </row>
    <row r="20">
      <c r="A20" s="170"/>
      <c r="B20" s="170"/>
      <c r="C20" s="170"/>
      <c r="D20" s="170"/>
      <c r="E20" s="170"/>
      <c r="F20" s="170"/>
      <c r="G20" s="170"/>
      <c r="H20" s="170"/>
      <c r="I20" s="170"/>
      <c r="J20" s="170"/>
      <c r="K20" s="170"/>
      <c r="L20" s="170"/>
      <c r="M20" s="170"/>
      <c r="N20" s="170"/>
      <c r="O20" s="170"/>
      <c r="P20" s="170"/>
      <c r="Q20" s="170"/>
      <c r="R20" s="170"/>
      <c r="S20" s="170"/>
      <c r="T20" s="170"/>
      <c r="U20" s="170"/>
      <c r="V20" s="170"/>
      <c r="W20" s="170"/>
      <c r="X20" s="170"/>
    </row>
    <row r="21">
      <c r="A21" s="170"/>
      <c r="B21" s="170"/>
      <c r="C21" s="170"/>
      <c r="D21" s="170"/>
      <c r="E21" s="170"/>
      <c r="F21" s="170"/>
      <c r="G21" s="170"/>
      <c r="H21" s="170"/>
      <c r="I21" s="170"/>
      <c r="J21" s="170"/>
      <c r="K21" s="170"/>
      <c r="L21" s="170"/>
      <c r="M21" s="170"/>
      <c r="N21" s="170"/>
      <c r="O21" s="170"/>
      <c r="P21" s="170"/>
      <c r="Q21" s="170"/>
      <c r="R21" s="170"/>
      <c r="S21" s="170"/>
      <c r="T21" s="170"/>
      <c r="U21" s="170"/>
      <c r="V21" s="170"/>
      <c r="W21" s="170"/>
      <c r="X21" s="170"/>
    </row>
    <row r="22">
      <c r="A22" s="170"/>
      <c r="B22" s="170"/>
      <c r="C22" s="170"/>
      <c r="D22" s="170"/>
      <c r="E22" s="170"/>
      <c r="F22" s="170"/>
      <c r="G22" s="170"/>
      <c r="H22" s="170"/>
      <c r="I22" s="170"/>
      <c r="J22" s="170"/>
      <c r="K22" s="170"/>
      <c r="L22" s="170"/>
      <c r="M22" s="170"/>
      <c r="N22" s="170"/>
      <c r="O22" s="170"/>
      <c r="P22" s="170"/>
      <c r="Q22" s="170"/>
      <c r="R22" s="170"/>
      <c r="S22" s="170"/>
      <c r="T22" s="170"/>
      <c r="U22" s="170"/>
      <c r="V22" s="170"/>
      <c r="W22" s="170"/>
      <c r="X22" s="170"/>
    </row>
    <row r="23">
      <c r="A23" s="170"/>
      <c r="B23" s="170"/>
      <c r="C23" s="170"/>
      <c r="D23" s="170"/>
      <c r="E23" s="170"/>
      <c r="F23" s="170"/>
      <c r="G23" s="170"/>
      <c r="H23" s="170"/>
      <c r="I23" s="170"/>
      <c r="J23" s="170"/>
      <c r="K23" s="170"/>
      <c r="L23" s="170"/>
      <c r="M23" s="170"/>
      <c r="N23" s="170"/>
      <c r="O23" s="170"/>
      <c r="P23" s="170"/>
      <c r="Q23" s="170"/>
      <c r="R23" s="170"/>
      <c r="S23" s="170"/>
      <c r="T23" s="170"/>
      <c r="U23" s="170"/>
      <c r="V23" s="170"/>
      <c r="W23" s="170"/>
      <c r="X23" s="170"/>
    </row>
    <row r="24">
      <c r="A24" s="170"/>
      <c r="B24" s="170"/>
      <c r="C24" s="170"/>
      <c r="D24" s="170"/>
      <c r="E24" s="170"/>
      <c r="F24" s="170"/>
      <c r="G24" s="170"/>
      <c r="H24" s="170"/>
      <c r="I24" s="170"/>
      <c r="J24" s="170"/>
      <c r="K24" s="170"/>
      <c r="L24" s="170"/>
      <c r="M24" s="170"/>
      <c r="N24" s="170"/>
      <c r="O24" s="170"/>
      <c r="P24" s="170"/>
      <c r="Q24" s="170"/>
      <c r="R24" s="170"/>
      <c r="S24" s="170"/>
      <c r="T24" s="170"/>
      <c r="U24" s="170"/>
      <c r="V24" s="170"/>
      <c r="W24" s="170"/>
      <c r="X24" s="170"/>
    </row>
    <row r="25">
      <c r="A25" s="170"/>
      <c r="B25" s="170"/>
      <c r="C25" s="170"/>
      <c r="D25" s="170"/>
      <c r="E25" s="170"/>
      <c r="F25" s="170"/>
      <c r="G25" s="170"/>
      <c r="H25" s="170"/>
      <c r="I25" s="170"/>
      <c r="J25" s="170"/>
      <c r="K25" s="170"/>
      <c r="L25" s="170"/>
      <c r="M25" s="170"/>
      <c r="N25" s="170"/>
      <c r="O25" s="170"/>
      <c r="P25" s="170"/>
      <c r="Q25" s="170"/>
      <c r="R25" s="170"/>
      <c r="S25" s="170"/>
      <c r="T25" s="170"/>
      <c r="U25" s="170"/>
      <c r="V25" s="170"/>
      <c r="W25" s="170"/>
      <c r="X25" s="170"/>
    </row>
    <row r="26">
      <c r="A26" s="170"/>
      <c r="B26" s="170"/>
      <c r="C26" s="170"/>
      <c r="D26" s="170"/>
      <c r="E26" s="170"/>
      <c r="F26" s="170"/>
      <c r="G26" s="170"/>
      <c r="H26" s="170"/>
      <c r="I26" s="170"/>
      <c r="J26" s="170"/>
      <c r="K26" s="170"/>
      <c r="L26" s="170"/>
      <c r="M26" s="170"/>
      <c r="N26" s="170"/>
      <c r="O26" s="170"/>
      <c r="P26" s="170"/>
      <c r="Q26" s="170"/>
      <c r="R26" s="170"/>
      <c r="S26" s="170"/>
      <c r="T26" s="170"/>
      <c r="U26" s="170"/>
      <c r="V26" s="170"/>
      <c r="W26" s="170"/>
      <c r="X26" s="170"/>
    </row>
    <row r="27">
      <c r="A27" s="170"/>
      <c r="B27" s="170"/>
      <c r="C27" s="170"/>
      <c r="D27" s="170"/>
      <c r="E27" s="170"/>
      <c r="F27" s="170"/>
      <c r="G27" s="170"/>
      <c r="H27" s="170"/>
      <c r="I27" s="170"/>
      <c r="J27" s="170"/>
      <c r="K27" s="170"/>
      <c r="L27" s="170"/>
      <c r="M27" s="170"/>
      <c r="N27" s="170"/>
      <c r="O27" s="170"/>
      <c r="P27" s="170"/>
      <c r="Q27" s="170"/>
      <c r="R27" s="170"/>
      <c r="S27" s="170"/>
      <c r="T27" s="170"/>
      <c r="U27" s="170"/>
      <c r="V27" s="170"/>
      <c r="W27" s="170"/>
      <c r="X27" s="170"/>
    </row>
    <row r="28">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row>
    <row r="29">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row>
    <row r="30">
      <c r="A30" s="170"/>
      <c r="B30" s="170"/>
      <c r="C30" s="170"/>
      <c r="D30" s="170"/>
      <c r="E30" s="170"/>
      <c r="F30" s="170"/>
      <c r="G30" s="170"/>
      <c r="H30" s="170"/>
      <c r="I30" s="170"/>
      <c r="J30" s="170"/>
      <c r="K30" s="170"/>
      <c r="L30" s="170"/>
      <c r="M30" s="170"/>
      <c r="N30" s="170"/>
      <c r="O30" s="170"/>
      <c r="P30" s="170"/>
      <c r="Q30" s="170"/>
      <c r="R30" s="170"/>
      <c r="S30" s="170"/>
      <c r="T30" s="170"/>
      <c r="U30" s="170"/>
      <c r="V30" s="170"/>
      <c r="W30" s="170"/>
      <c r="X30" s="170"/>
    </row>
    <row r="31">
      <c r="A31" s="170"/>
      <c r="B31" s="170"/>
      <c r="C31" s="170"/>
      <c r="D31" s="170"/>
      <c r="E31" s="170"/>
      <c r="F31" s="170"/>
      <c r="G31" s="170"/>
      <c r="H31" s="170"/>
      <c r="I31" s="170"/>
      <c r="J31" s="170"/>
      <c r="K31" s="170"/>
      <c r="L31" s="170"/>
      <c r="M31" s="170"/>
      <c r="N31" s="170"/>
      <c r="O31" s="170"/>
      <c r="P31" s="170"/>
      <c r="Q31" s="170"/>
      <c r="R31" s="170"/>
      <c r="S31" s="170"/>
      <c r="T31" s="170"/>
      <c r="U31" s="170"/>
      <c r="V31" s="170"/>
      <c r="W31" s="170"/>
      <c r="X31" s="170"/>
    </row>
    <row r="32">
      <c r="A32" s="170"/>
      <c r="B32" s="170"/>
      <c r="C32" s="170"/>
      <c r="D32" s="170"/>
      <c r="E32" s="170"/>
      <c r="F32" s="170"/>
      <c r="G32" s="170"/>
      <c r="H32" s="170"/>
      <c r="I32" s="170"/>
      <c r="J32" s="170"/>
      <c r="K32" s="170"/>
      <c r="L32" s="170"/>
      <c r="M32" s="170"/>
      <c r="N32" s="170"/>
      <c r="O32" s="170"/>
      <c r="P32" s="170"/>
      <c r="Q32" s="170"/>
      <c r="R32" s="170"/>
      <c r="S32" s="170"/>
      <c r="T32" s="170"/>
      <c r="U32" s="170"/>
      <c r="V32" s="170"/>
      <c r="W32" s="170"/>
      <c r="X32" s="170"/>
    </row>
    <row r="33">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row>
    <row r="34">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row>
    <row r="35">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row>
    <row r="36">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row>
    <row r="37">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row>
    <row r="38">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row>
    <row r="39">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row>
    <row r="40">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row>
    <row r="4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row>
    <row r="42">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row>
    <row r="43">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row>
    <row r="44">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row>
    <row r="45">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row>
    <row r="46">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row>
    <row r="47">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row>
    <row r="48">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row>
    <row r="49">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row>
    <row r="50">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row>
    <row r="5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row>
    <row r="52">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row>
    <row r="53">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row>
    <row r="54">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row>
    <row r="55">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row>
    <row r="56">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row>
    <row r="57">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row>
    <row r="58">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row>
    <row r="59">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row>
    <row r="60">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row>
    <row r="6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row>
    <row r="62">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row>
    <row r="63">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row>
    <row r="64">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row>
    <row r="65">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row>
    <row r="66">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row>
    <row r="67">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row>
    <row r="68">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row>
    <row r="69">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row>
    <row r="70">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row>
    <row r="71">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row>
    <row r="72">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row>
    <row r="73">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row>
    <row r="74">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row>
    <row r="75">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row>
    <row r="76">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row>
    <row r="77">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row>
    <row r="78">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row>
    <row r="79">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row>
    <row r="80">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row>
    <row r="81">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row>
    <row r="82">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row>
    <row r="83">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row>
    <row r="84">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row>
    <row r="85">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row>
    <row r="86">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row>
    <row r="87">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row>
    <row r="88">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row>
    <row r="89">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row>
    <row r="90">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row>
    <row r="9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row>
    <row r="92">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row>
    <row r="93">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row>
    <row r="94">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row>
    <row r="95">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row>
    <row r="96">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row>
    <row r="97">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row>
    <row r="98">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row>
    <row r="99">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row>
    <row r="100">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row>
    <row r="101">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row>
    <row r="102">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row>
    <row r="103">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row>
    <row r="104">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row>
    <row r="105">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row>
    <row r="106">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row>
    <row r="107">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row>
    <row r="108">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row>
    <row r="109">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row>
    <row r="110">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row>
    <row r="111">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row>
    <row r="112">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row>
    <row r="113">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row>
    <row r="114">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row>
    <row r="115">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row>
    <row r="116">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row>
    <row r="117">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row>
    <row r="118">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row>
    <row r="119">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row>
    <row r="120">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row>
    <row r="121">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row>
    <row r="122">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row>
    <row r="123">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row>
    <row r="124">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row>
    <row r="125">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row>
    <row r="126">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row>
    <row r="127">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row>
    <row r="128">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row>
    <row r="129">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row>
    <row r="130">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row>
    <row r="131">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row>
    <row r="132">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row>
    <row r="133">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row>
    <row r="134">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row>
    <row r="135">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row>
    <row r="136">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row>
    <row r="137">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row>
    <row r="138">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row>
    <row r="139">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row>
    <row r="140">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row>
    <row r="141">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row>
    <row r="142">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row>
    <row r="143">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row>
    <row r="144">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row>
    <row r="145">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row>
    <row r="146">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row>
    <row r="147">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row>
    <row r="148">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row>
    <row r="149">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row>
    <row r="150">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row>
    <row r="151">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row>
    <row r="152">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row>
    <row r="153">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row>
    <row r="154">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row>
    <row r="155">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row>
    <row r="156">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row>
    <row r="157">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row>
    <row r="158">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row>
    <row r="159">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row>
    <row r="160">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row>
    <row r="161">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row>
    <row r="162">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row>
    <row r="163">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row>
    <row r="164">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row>
    <row r="165">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row>
    <row r="166">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row>
    <row r="167">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row>
    <row r="168">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row>
    <row r="169">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row>
    <row r="170">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row>
    <row r="171">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row>
    <row r="172">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row>
    <row r="173">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row>
    <row r="174">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row>
    <row r="175">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row>
    <row r="176">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row>
    <row r="177">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row>
    <row r="178">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row>
    <row r="179">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row>
    <row r="180">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row>
    <row r="18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row>
    <row r="182">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row>
    <row r="183">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row>
    <row r="184">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row>
    <row r="185">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row>
    <row r="186">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row>
    <row r="187">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row>
    <row r="188">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row>
    <row r="189">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row>
    <row r="190">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row>
    <row r="191">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row>
    <row r="192">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row>
    <row r="193">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row>
    <row r="194">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row>
    <row r="195">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row>
    <row r="196">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row>
    <row r="197">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row>
    <row r="198">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row>
    <row r="199">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row>
    <row r="200">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row>
    <row r="20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row>
    <row r="202">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row>
    <row r="203">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row>
    <row r="204">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row>
    <row r="205">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row>
    <row r="206">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row>
    <row r="207">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row>
    <row r="208">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row>
    <row r="209">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row>
    <row r="210">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row>
    <row r="21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row>
    <row r="212">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row>
    <row r="213">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row>
    <row r="214">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row>
    <row r="215">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row>
    <row r="216">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row>
    <row r="217">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row>
    <row r="218">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row>
    <row r="219">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row>
    <row r="220">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row>
    <row r="22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row>
    <row r="222">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row>
    <row r="223">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row>
    <row r="224">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row>
    <row r="225">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row>
    <row r="226">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row>
    <row r="227">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row>
    <row r="228">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row>
    <row r="229">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row>
    <row r="230">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row>
    <row r="23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row>
    <row r="232">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row>
    <row r="233">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row>
    <row r="234">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row>
    <row r="235">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row>
    <row r="236">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row>
    <row r="237">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row>
    <row r="238">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row>
    <row r="239">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row>
    <row r="240">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row>
    <row r="24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row>
    <row r="242">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row>
    <row r="243">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row>
    <row r="244">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row>
    <row r="245">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row>
    <row r="246">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row>
    <row r="247">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row>
    <row r="248">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row>
    <row r="249">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row>
    <row r="250">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row>
    <row r="25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row>
    <row r="252">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row>
    <row r="253">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row>
    <row r="254">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row>
    <row r="255">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row>
    <row r="256">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row>
    <row r="257">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row>
    <row r="258">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row>
    <row r="259">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row>
    <row r="260">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row>
    <row r="26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row>
    <row r="262">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row>
    <row r="263">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row>
    <row r="264">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row>
    <row r="265">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row>
    <row r="266">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row>
    <row r="267">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row>
    <row r="268">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row>
    <row r="269">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row>
    <row r="270">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row>
    <row r="27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row>
    <row r="272">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row>
    <row r="273">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row>
    <row r="274">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row>
    <row r="275">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row>
    <row r="276">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row>
    <row r="277">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row>
    <row r="278">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row>
    <row r="279">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row>
    <row r="280">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row>
    <row r="28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row>
    <row r="282">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row>
    <row r="283">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row>
    <row r="284">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row>
    <row r="285">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row>
    <row r="286">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row>
    <row r="287">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row>
    <row r="288">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row>
    <row r="289">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row>
    <row r="290">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row>
    <row r="29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row>
    <row r="292">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row>
    <row r="293">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row>
    <row r="294">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row>
    <row r="295">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row>
    <row r="296">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row>
    <row r="297">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row>
    <row r="298">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row>
    <row r="299">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row>
    <row r="300">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row>
    <row r="30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row>
    <row r="302">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row>
    <row r="303">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row>
    <row r="304">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row>
    <row r="305">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row>
    <row r="306">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row>
    <row r="307">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row>
    <row r="308">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row>
    <row r="309">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row>
    <row r="310">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row>
    <row r="31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row>
    <row r="312">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row>
    <row r="313">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row>
    <row r="314">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row>
    <row r="315">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row>
    <row r="316">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row>
    <row r="317">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row>
    <row r="318">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row>
    <row r="319">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row>
    <row r="320">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row>
    <row r="32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row>
    <row r="322">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row>
    <row r="323">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row>
    <row r="324">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row>
    <row r="325">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row>
    <row r="326">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row>
    <row r="327">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row>
    <row r="328">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row>
    <row r="329">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row>
    <row r="330">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row>
    <row r="33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row>
    <row r="332">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row>
    <row r="333">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row>
    <row r="334">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row>
    <row r="335">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row>
    <row r="336">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row>
    <row r="337">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row>
    <row r="338">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row>
    <row r="339">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row>
    <row r="340">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row>
    <row r="34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row>
    <row r="342">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row>
    <row r="343">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row>
    <row r="344">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row>
    <row r="345">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row>
    <row r="346">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row>
    <row r="347">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row>
    <row r="348">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row>
    <row r="349">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row>
    <row r="350">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row>
    <row r="35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row>
    <row r="352">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row>
    <row r="353">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row>
    <row r="354">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row>
    <row r="355">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row>
    <row r="356">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row>
    <row r="357">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row>
    <row r="358">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row>
    <row r="359">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row>
    <row r="360">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row>
    <row r="36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row>
    <row r="362">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row>
    <row r="363">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row>
    <row r="364">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row>
    <row r="365">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row>
    <row r="366">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row>
    <row r="367">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row>
    <row r="368">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row>
    <row r="369">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row>
    <row r="370">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row>
    <row r="37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row>
    <row r="372">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row>
    <row r="373">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row>
    <row r="374">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row>
    <row r="375">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row>
    <row r="376">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row>
    <row r="377">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row>
    <row r="378">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row>
    <row r="379">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row>
    <row r="380">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row>
    <row r="38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row>
    <row r="382">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row>
    <row r="383">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row>
    <row r="384">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row>
    <row r="385">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row>
    <row r="386">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row>
    <row r="387">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row>
    <row r="388">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row>
    <row r="389">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row>
    <row r="390">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row>
    <row r="39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row>
    <row r="392">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row>
    <row r="393">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row>
    <row r="394">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row>
    <row r="395">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row>
    <row r="396">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row>
    <row r="397">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row>
    <row r="398">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row>
    <row r="399">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row>
    <row r="400">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row>
    <row r="40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row>
    <row r="402">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row>
    <row r="403">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row>
    <row r="404">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row>
    <row r="405">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row>
    <row r="406">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row>
    <row r="407">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row>
    <row r="408">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row>
    <row r="409">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row>
    <row r="410">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row>
    <row r="41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row>
    <row r="412">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row>
    <row r="413">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row>
    <row r="414">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row>
    <row r="415">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row>
    <row r="416">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row>
    <row r="417">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row>
    <row r="418">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row>
    <row r="419">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row>
    <row r="420">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row>
    <row r="42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row>
    <row r="422">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row>
    <row r="423">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row>
    <row r="424">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row>
    <row r="425">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row>
    <row r="426">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row>
    <row r="427">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row>
    <row r="428">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row>
    <row r="429">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row>
    <row r="430">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row>
    <row r="43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row>
    <row r="432">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row>
    <row r="433">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row>
    <row r="434">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row>
    <row r="435">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row>
    <row r="436">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row>
    <row r="437">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row>
    <row r="438">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row>
    <row r="439">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row>
    <row r="440">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row>
    <row r="44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row>
    <row r="442">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row>
    <row r="443">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row>
    <row r="444">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row>
    <row r="445">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row>
    <row r="446">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row>
    <row r="447">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row>
    <row r="448">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row>
    <row r="449">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row>
    <row r="450">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row>
    <row r="45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row>
    <row r="452">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row>
    <row r="453">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row>
    <row r="454">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row>
    <row r="455">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row>
    <row r="456">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row>
    <row r="457">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row>
    <row r="458">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row>
    <row r="459">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row>
    <row r="460">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row>
    <row r="46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row>
    <row r="462">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row>
    <row r="463">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row>
    <row r="464">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row>
    <row r="465">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row>
    <row r="466">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row>
    <row r="467">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row>
    <row r="468">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row>
    <row r="469">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row>
    <row r="470">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row>
    <row r="47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row>
    <row r="472">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row>
    <row r="473">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row>
    <row r="474">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row>
    <row r="475">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row>
    <row r="476">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row>
    <row r="477">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row>
    <row r="478">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row>
    <row r="479">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row>
    <row r="480">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row>
    <row r="48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row>
    <row r="482">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row>
    <row r="483">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row>
    <row r="484">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row>
    <row r="485">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row>
    <row r="486">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row>
    <row r="487">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row>
    <row r="488">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row>
    <row r="489">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row>
    <row r="490">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row>
    <row r="49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row>
    <row r="492">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row>
    <row r="493">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row>
    <row r="494">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row>
    <row r="495">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row>
    <row r="496">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row>
    <row r="497">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row>
    <row r="498">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row>
    <row r="499">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row>
    <row r="500">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row>
    <row r="50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row>
    <row r="502">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row>
    <row r="503">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row>
    <row r="504">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row>
    <row r="505">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row>
    <row r="506">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row>
    <row r="507">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row>
    <row r="508">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row>
    <row r="509">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row>
    <row r="510">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row>
    <row r="51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row>
    <row r="512">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row>
    <row r="513">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row>
    <row r="514">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row>
    <row r="515">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row>
    <row r="516">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row>
    <row r="517">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row>
    <row r="518">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row>
    <row r="519">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row>
    <row r="520">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row>
    <row r="52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row>
    <row r="522">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row>
    <row r="523">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row>
    <row r="524">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row>
    <row r="525">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row>
    <row r="526">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row>
    <row r="527">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row>
    <row r="528">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row>
    <row r="529">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row>
    <row r="530">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row>
    <row r="53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row>
    <row r="532">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row>
    <row r="533">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row>
    <row r="534">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row>
    <row r="535">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row>
    <row r="536">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row>
    <row r="537">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row>
    <row r="538">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row>
    <row r="539">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row>
    <row r="540">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row>
    <row r="54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row>
    <row r="542">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row>
    <row r="543">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row>
    <row r="544">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row>
    <row r="545">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row>
    <row r="546">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row>
    <row r="547">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row>
    <row r="548">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row>
    <row r="549">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row>
    <row r="550">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row>
    <row r="55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row>
    <row r="552">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row>
    <row r="553">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row>
    <row r="554">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row>
    <row r="555">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row>
    <row r="556">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row>
    <row r="557">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row>
    <row r="558">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row>
    <row r="559">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row>
    <row r="560">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row>
    <row r="56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row>
    <row r="562">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row>
    <row r="563">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row>
    <row r="564">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row>
    <row r="565">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row>
    <row r="566">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row>
    <row r="567">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row>
    <row r="568">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row>
    <row r="569">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row>
    <row r="570">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row>
    <row r="57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row>
    <row r="572">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row>
    <row r="573">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row>
    <row r="574">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row>
    <row r="575">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row>
    <row r="576">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row>
    <row r="577">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row>
    <row r="578">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row>
    <row r="579">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row>
    <row r="580">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row>
    <row r="58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row>
    <row r="582">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row>
    <row r="583">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row>
    <row r="584">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row>
    <row r="585">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row>
    <row r="586">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row>
    <row r="587">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row>
    <row r="588">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row>
    <row r="589">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row>
    <row r="590">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row>
    <row r="59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row>
    <row r="592">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row>
    <row r="593">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row>
    <row r="594">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row>
    <row r="595">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row>
    <row r="596">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row>
    <row r="597">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row>
    <row r="598">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row>
    <row r="599">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row>
    <row r="600">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row>
    <row r="60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row>
    <row r="602">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row>
    <row r="603">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row>
    <row r="604">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row>
    <row r="605">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row>
    <row r="606">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row>
    <row r="607">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row>
    <row r="608">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row>
    <row r="609">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row>
    <row r="610">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row>
    <row r="61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row>
    <row r="612">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row>
    <row r="613">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row>
    <row r="614">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row>
    <row r="615">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row>
    <row r="616">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row>
    <row r="617">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row>
    <row r="618">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row>
    <row r="619">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row>
    <row r="620">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row>
    <row r="62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row>
    <row r="622">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row>
    <row r="623">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row>
    <row r="624">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row>
    <row r="625">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row>
    <row r="626">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row>
    <row r="627">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row>
    <row r="628">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row>
    <row r="629">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row>
    <row r="630">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row>
    <row r="63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row>
    <row r="632">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row>
    <row r="633">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row>
    <row r="634">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row>
    <row r="635">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row>
    <row r="636">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row>
    <row r="637">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row>
    <row r="638">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row>
    <row r="639">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row>
    <row r="640">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row>
    <row r="64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row>
    <row r="642">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row>
    <row r="643">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row>
    <row r="644">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row>
    <row r="645">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row>
    <row r="646">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row>
    <row r="647">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row>
    <row r="648">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row>
    <row r="649">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row>
    <row r="650">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row>
    <row r="65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row>
    <row r="652">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row>
    <row r="653">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row>
    <row r="654">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row>
    <row r="655">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row>
    <row r="656">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row>
    <row r="657">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row>
    <row r="658">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row>
    <row r="659">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row>
    <row r="660">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row>
    <row r="66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row>
    <row r="662">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row>
    <row r="663">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row>
    <row r="664">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row>
    <row r="665">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row>
    <row r="666">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row>
    <row r="667">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row>
    <row r="668">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row>
    <row r="669">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row>
    <row r="670">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row>
    <row r="67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row>
    <row r="672">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row>
    <row r="673">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row>
    <row r="674">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row>
    <row r="675">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row>
    <row r="676">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row>
    <row r="677">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row>
    <row r="678">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row>
    <row r="679">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row>
    <row r="680">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row>
    <row r="68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row>
    <row r="682">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row>
    <row r="683">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row>
    <row r="684">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row>
    <row r="685">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row>
    <row r="686">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row>
    <row r="687">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row>
    <row r="688">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row>
    <row r="689">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row>
    <row r="690">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row>
    <row r="69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row>
    <row r="692">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row>
    <row r="693">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row>
    <row r="694">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row>
    <row r="695">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row>
    <row r="696">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row>
    <row r="697">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row>
    <row r="698">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row>
    <row r="699">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row>
    <row r="700">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row>
    <row r="70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row>
    <row r="702">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row>
    <row r="703">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row>
    <row r="704">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row>
    <row r="705">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row>
    <row r="706">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row>
    <row r="707">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row>
    <row r="708">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row>
    <row r="709">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row>
    <row r="710">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row>
    <row r="71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row>
    <row r="712">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row>
    <row r="713">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row>
    <row r="714">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row>
    <row r="715">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row>
    <row r="716">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row>
    <row r="717">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row>
    <row r="718">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row>
    <row r="719">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row>
    <row r="720">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row>
    <row r="72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row>
    <row r="722">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row>
    <row r="723">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row>
    <row r="724">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row>
    <row r="725">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row>
    <row r="726">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row>
    <row r="727">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row>
    <row r="728">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row>
    <row r="729">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row>
    <row r="730">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row>
    <row r="73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row>
    <row r="732">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row>
    <row r="733">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row>
    <row r="734">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row>
    <row r="735">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row>
    <row r="736">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row>
    <row r="737">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row>
    <row r="738">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row>
    <row r="739">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row>
    <row r="740">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row>
    <row r="74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row>
    <row r="742">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row>
    <row r="743">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row>
    <row r="744">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row>
    <row r="745">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row>
    <row r="746">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row>
    <row r="747">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row>
    <row r="748">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row>
    <row r="749">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row>
    <row r="750">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row>
    <row r="75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row>
    <row r="752">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row>
    <row r="753">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row>
    <row r="754">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row>
    <row r="755">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row>
    <row r="756">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row>
    <row r="757">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row>
    <row r="758">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row>
    <row r="759">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row>
    <row r="760">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row>
    <row r="76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row>
    <row r="762">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row>
    <row r="763">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row>
    <row r="764">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row>
    <row r="765">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row>
    <row r="766">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row>
    <row r="767">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row>
    <row r="768">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row>
    <row r="769">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row>
    <row r="770">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row>
    <row r="77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row>
    <row r="772">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row>
    <row r="773">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row>
    <row r="774">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row>
    <row r="775">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row>
    <row r="776">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row>
    <row r="777">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row>
    <row r="778">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row>
    <row r="779">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row>
    <row r="780">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row>
    <row r="78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row>
    <row r="782">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row>
    <row r="783">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row>
    <row r="784">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row>
    <row r="785">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row>
    <row r="786">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row>
    <row r="787">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row>
    <row r="788">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row>
    <row r="789">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row>
    <row r="790">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row>
    <row r="79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row>
    <row r="792">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row>
    <row r="793">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row>
    <row r="794">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row>
    <row r="795">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row>
    <row r="796">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row>
    <row r="797">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row>
    <row r="798">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row>
    <row r="799">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row>
    <row r="800">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row>
    <row r="80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row>
    <row r="802">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row>
    <row r="803">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row>
    <row r="804">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row>
    <row r="805">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row>
    <row r="806">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row>
    <row r="807">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row>
    <row r="808">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row>
    <row r="809">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row>
    <row r="810">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row>
    <row r="81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row>
    <row r="812">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row>
    <row r="813">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row>
    <row r="814">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row>
    <row r="815">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row>
    <row r="816">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row>
    <row r="817">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row>
    <row r="818">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row>
    <row r="819">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row>
    <row r="820">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row>
    <row r="82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row>
    <row r="822">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row>
    <row r="823">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row>
    <row r="824">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row>
    <row r="825">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row>
    <row r="826">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row>
    <row r="827">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row>
    <row r="828">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row>
    <row r="829">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row>
    <row r="830">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row>
    <row r="83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row>
    <row r="832">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row>
    <row r="833">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row>
    <row r="834">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row>
    <row r="835">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row>
    <row r="836">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row>
    <row r="837">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row>
    <row r="838">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row>
    <row r="839">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row>
    <row r="840">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row>
    <row r="84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row>
    <row r="842">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row>
    <row r="843">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row>
    <row r="844">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row>
    <row r="845">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row>
    <row r="846">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row>
    <row r="847">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row>
    <row r="848">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row>
    <row r="849">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row>
    <row r="850">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row>
    <row r="85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row>
    <row r="852">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row>
    <row r="853">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row>
    <row r="854">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row>
    <row r="855">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row>
    <row r="856">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row>
    <row r="857">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row>
    <row r="858">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row>
    <row r="859">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row>
    <row r="860">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row>
    <row r="86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row>
    <row r="862">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row>
    <row r="863">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row>
    <row r="864">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row>
    <row r="865">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row>
    <row r="866">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row>
    <row r="867">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row>
    <row r="868">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row>
    <row r="869">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row>
    <row r="870">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row>
    <row r="87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row>
    <row r="872">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row>
    <row r="873">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row>
    <row r="874">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row>
    <row r="875">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row>
    <row r="876">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row>
    <row r="877">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row>
    <row r="878">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row>
    <row r="879">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row>
    <row r="880">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row>
    <row r="88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row>
    <row r="882">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row>
    <row r="883">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row>
    <row r="884">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row>
    <row r="885">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row>
    <row r="886">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row>
    <row r="887">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row>
    <row r="888">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row>
    <row r="889">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row>
    <row r="890">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row>
    <row r="89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row>
    <row r="892">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row>
    <row r="893">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row>
    <row r="894">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row>
    <row r="895">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row>
    <row r="896">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row>
    <row r="897">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row>
    <row r="898">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row>
    <row r="899">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row>
    <row r="900">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row>
    <row r="90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row>
    <row r="902">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row>
    <row r="903">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row>
    <row r="904">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row>
    <row r="905">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row>
    <row r="906">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row>
    <row r="907">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row>
    <row r="908">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row>
    <row r="909">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row>
    <row r="910">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row>
    <row r="91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row>
    <row r="912">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row>
    <row r="913">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row>
    <row r="914">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row>
    <row r="915">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row>
    <row r="916">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row>
    <row r="917">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row>
    <row r="918">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row>
    <row r="919">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row>
    <row r="920">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row>
    <row r="92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row>
    <row r="922">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row>
    <row r="923">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row>
    <row r="924">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row>
    <row r="925">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row>
    <row r="926">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row>
    <row r="927">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row>
    <row r="928">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row>
    <row r="929">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row>
    <row r="930">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row>
    <row r="93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row>
    <row r="932">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row>
    <row r="933">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row>
    <row r="934">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row>
    <row r="935">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row>
    <row r="936">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row>
    <row r="937">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row>
    <row r="938">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row>
    <row r="939">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row>
    <row r="940">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row>
    <row r="94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row>
    <row r="942">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row>
    <row r="943">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row>
    <row r="944">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row>
    <row r="945">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row>
    <row r="946">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row>
    <row r="947">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row>
    <row r="948">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row>
    <row r="949">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row>
    <row r="950">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row>
    <row r="95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row>
    <row r="952">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row>
    <row r="953">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row>
    <row r="954">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row>
    <row r="955">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row>
    <row r="956">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row>
    <row r="957">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row>
    <row r="958">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row>
    <row r="959">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row>
    <row r="960">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row>
    <row r="96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row>
    <row r="962">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row>
    <row r="963">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row>
    <row r="964">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row>
    <row r="965">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row>
    <row r="966">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row>
    <row r="967">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row>
    <row r="968">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row>
    <row r="969">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row>
    <row r="970">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row>
    <row r="97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row>
    <row r="972">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row>
    <row r="973">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row>
    <row r="974">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row>
    <row r="975">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row>
    <row r="976">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row>
    <row r="977">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row>
    <row r="978">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row>
    <row r="979">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row>
    <row r="980">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row>
    <row r="98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row>
    <row r="982">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row>
    <row r="983">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row>
    <row r="984">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row>
    <row r="985">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row>
    <row r="986">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row>
    <row r="987">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row>
    <row r="988">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row>
    <row r="989">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row>
    <row r="990">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row>
    <row r="991">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row>
    <row r="992">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row>
    <row r="993">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row>
    <row r="994">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row>
    <row r="995">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row>
    <row r="996">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row>
  </sheetData>
  <mergeCells count="1">
    <mergeCell ref="B2:C2"/>
  </mergeCells>
  <drawing r:id="rId1"/>
</worksheet>
</file>