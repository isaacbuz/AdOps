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Users/eweinstein/Documents/AD OPS TEMPLATES/"/>
    </mc:Choice>
  </mc:AlternateContent>
  <xr:revisionPtr revIDLastSave="0" documentId="13_ncr:1_{C58F5C8A-3AF6-5B4C-9C7A-D65791B33080}" xr6:coauthVersionLast="47" xr6:coauthVersionMax="47" xr10:uidLastSave="{00000000-0000-0000-0000-000000000000}"/>
  <bookViews>
    <workbookView xWindow="0" yWindow="500" windowWidth="38400" windowHeight="18940" xr2:uid="{665206E5-D3CB-2F42-BF67-2B9D186CAB5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1" l="1"/>
  <c r="F19" i="1"/>
  <c r="C18" i="1"/>
  <c r="C17" i="1"/>
  <c r="F17" i="1" s="1"/>
  <c r="C16" i="1"/>
  <c r="F16" i="1" s="1"/>
  <c r="C15" i="1"/>
  <c r="F15" i="1" s="1"/>
  <c r="C14" i="1"/>
  <c r="F14" i="1" s="1"/>
  <c r="C13" i="1"/>
  <c r="F13" i="1" s="1"/>
  <c r="C12" i="1"/>
  <c r="F12" i="1" s="1"/>
  <c r="C11" i="1"/>
  <c r="F11" i="1" s="1"/>
  <c r="C10" i="1"/>
  <c r="F10" i="1" s="1"/>
  <c r="C9" i="1"/>
  <c r="F9" i="1" s="1"/>
  <c r="C8" i="1"/>
  <c r="F8" i="1" s="1"/>
  <c r="C7" i="1"/>
  <c r="F7" i="1" s="1"/>
  <c r="C6" i="1"/>
  <c r="F6" i="1" s="1"/>
  <c r="C5" i="1"/>
  <c r="F5" i="1" s="1"/>
  <c r="C4" i="1"/>
  <c r="F4" i="1" s="1"/>
  <c r="C3" i="1"/>
  <c r="F3" i="1" s="1"/>
  <c r="C2" i="1"/>
  <c r="F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1FD2C473-FCFB-FF4E-A3EB-3F3A9F110371}">
      <text>
        <r>
          <rPr>
            <sz val="10"/>
            <color rgb="FF000000"/>
            <rFont val="Arial"/>
            <family val="2"/>
          </rPr>
          <t>This field is ignored unless you are creating a new placement. When you create a new placement, you must enter either a site ID or a site name.</t>
        </r>
      </text>
    </comment>
    <comment ref="B1" authorId="0" shapeId="0" xr:uid="{81D20CD8-9A87-6548-B173-38065264AA8A}">
      <text>
        <r>
          <rPr>
            <sz val="10"/>
            <color indexed="8"/>
            <rFont val="Arial"/>
            <family val="2"/>
          </rPr>
          <t>Required in the first row of a new placement.</t>
        </r>
      </text>
    </comment>
    <comment ref="C1" authorId="0" shapeId="0" xr:uid="{93182F1C-4DDD-2345-8277-31352B68B7BE}">
      <text>
        <r>
          <rPr>
            <sz val="10"/>
            <color rgb="FF000000"/>
            <rFont val="Arial"/>
            <family val="2"/>
          </rPr>
          <t>This field is ignored unless you are creating a new placement. When you create a new placement, you must enter either a site ID or a site name.</t>
        </r>
      </text>
    </comment>
    <comment ref="D1" authorId="0" shapeId="0" xr:uid="{2D10A1E3-29B0-1046-92C6-E7F54F775F0F}">
      <text>
        <r>
          <rPr>
            <sz val="10"/>
            <color indexed="8"/>
            <rFont val="Arial"/>
            <family val="2"/>
          </rPr>
          <t>Indicates whether the placement is the primary placement assigned to a roadblock.</t>
        </r>
      </text>
    </comment>
    <comment ref="E1" authorId="0" shapeId="0" xr:uid="{C37BA563-5C19-334A-A0F7-2172C3ABC274}">
      <text>
        <r>
          <rPr>
            <sz val="10"/>
            <color indexed="8"/>
            <rFont val="Arial"/>
            <family val="2"/>
          </rPr>
          <t>If you leave this field blank for a new placement, it defaults to "Agency Paid".</t>
        </r>
      </text>
    </comment>
    <comment ref="F1" authorId="0" shapeId="0" xr:uid="{DD5A0FB3-F485-564E-9F13-DAA65CF6AD36}">
      <text>
        <r>
          <rPr>
            <sz val="10"/>
            <color rgb="FF000000"/>
            <rFont val="Arial"/>
            <family val="2"/>
          </rPr>
          <t>Specify a package or roadblock here.</t>
        </r>
      </text>
    </comment>
    <comment ref="G1" authorId="0" shapeId="0" xr:uid="{97CAD85B-D35C-4144-A9DA-E47797A4C3D1}">
      <text>
        <r>
          <rPr>
            <sz val="10"/>
            <color indexed="8"/>
            <rFont val="Arial"/>
            <family val="2"/>
          </rPr>
          <t xml:space="preserve">Content categories are a way to group placements in reports. Typically, content categories group placements by the content of their sites (such as sports or music).
</t>
        </r>
        <r>
          <rPr>
            <sz val="10"/>
            <color indexed="8"/>
            <rFont val="Arial"/>
            <family val="2"/>
          </rPr>
          <t xml:space="preserve">
</t>
        </r>
        <r>
          <rPr>
            <sz val="10"/>
            <color indexed="8"/>
            <rFont val="Arial"/>
            <family val="2"/>
          </rPr>
          <t>To associate a placement with an existing content category, enter the name under "Content Category" in that placement's row. If you want to create a new content category, just enter the new name.</t>
        </r>
      </text>
    </comment>
    <comment ref="H1" authorId="0" shapeId="0" xr:uid="{B554A79B-9DE0-6B4D-9CC2-532C97ABCFD0}">
      <text>
        <r>
          <rPr>
            <sz val="10"/>
            <color indexed="8"/>
            <rFont val="Arial"/>
            <family val="2"/>
          </rPr>
          <t xml:space="preserve">Placement strategies are a way to group placements in your reports. Typically, they organize placements by marketing strategy. For example, if certain placements all show ads about discounts, you might group these placements into a "Discounts" placement strategy. New strategies can't be created through campaign import.
</t>
        </r>
        <r>
          <rPr>
            <sz val="10"/>
            <color indexed="8"/>
            <rFont val="Arial"/>
            <family val="2"/>
          </rPr>
          <t xml:space="preserve">
</t>
        </r>
        <r>
          <rPr>
            <sz val="10"/>
            <color indexed="8"/>
            <rFont val="Arial"/>
            <family val="2"/>
          </rPr>
          <t>To associate a placement with an existing placement, enter the name under "Placement Strategy" in that placement's row. If you want to create a new placement strategy, just enter the new name.</t>
        </r>
      </text>
    </comment>
    <comment ref="I1" authorId="0" shapeId="0" xr:uid="{D3BF90B7-FC32-6747-97FC-A048E45DA6B9}">
      <text>
        <r>
          <rPr>
            <sz val="10"/>
            <color indexed="8"/>
            <rFont val="Arial"/>
            <family val="2"/>
          </rPr>
          <t>The cost per unit for the placement. For CPM placements, the rate is the cost per thousand units. You can only edit cost for unflighted placements. To check if your placement is flighted, view its properties in DCM. For CPM, CPC, and CPA placements: enter a value for the units and the rate. The cost is calculated automatically. For flat-rate placements: enter the units and cost. The effective rate is calculated automatically.</t>
        </r>
      </text>
    </comment>
    <comment ref="J1" authorId="0" shapeId="0" xr:uid="{83785CCB-FF50-1942-A80A-B1566BC655A3}">
      <text>
        <r>
          <rPr>
            <sz val="10"/>
            <color indexed="8"/>
            <rFont val="Arial"/>
            <family val="2"/>
          </rPr>
          <t>Optional comments about the placement.</t>
        </r>
      </text>
    </comment>
    <comment ref="K1" authorId="0" shapeId="0" xr:uid="{E6771475-585C-014C-82BC-3A29344852A5}">
      <text>
        <r>
          <rPr>
            <sz val="10"/>
            <color indexed="8"/>
            <rFont val="Arial"/>
            <family val="2"/>
          </rPr>
          <t>Archives an ad or removes it from the archive.</t>
        </r>
      </text>
    </comment>
    <comment ref="L1" authorId="0" shapeId="0" xr:uid="{4419B057-2C9D-5B48-ABDE-650D93EB1833}">
      <text>
        <r>
          <rPr>
            <sz val="10"/>
            <color indexed="8"/>
            <rFont val="Arial"/>
            <family val="2"/>
          </rPr>
          <t>The date and time the ad starts. You must enter a time that is at least 15 minutes in the future.</t>
        </r>
      </text>
    </comment>
    <comment ref="M1" authorId="0" shapeId="0" xr:uid="{1F15D87E-A650-CA4E-9B96-B8A9F1079D2D}">
      <text>
        <r>
          <rPr>
            <sz val="10"/>
            <color rgb="FF000000"/>
            <rFont val="Arial"/>
            <family val="2"/>
          </rPr>
          <t>Optional external id for the placement.</t>
        </r>
      </text>
    </comment>
    <comment ref="N1" authorId="0" shapeId="0" xr:uid="{FCBDE88D-B5F3-FC4A-A565-FDD79BEEFC05}">
      <text>
        <r>
          <rPr>
            <sz val="10"/>
            <rFont val="Arial"/>
            <family val="2"/>
          </rPr>
          <t>Required in the first row of a new placement.</t>
        </r>
      </text>
    </comment>
    <comment ref="O1" authorId="0" shapeId="0" xr:uid="{93DFEA1B-8CCF-DF43-AF35-E7937E175662}">
      <text>
        <r>
          <rPr>
            <sz val="10"/>
            <color indexed="8"/>
            <rFont val="Arial"/>
            <family val="2"/>
          </rPr>
          <t>Identifies the parent placement if it is assigned to a package or roadblock.</t>
        </r>
      </text>
    </comment>
    <comment ref="P1" authorId="0" shapeId="0" xr:uid="{1689D9BC-1D60-CF46-A15B-A7F9A83A02A0}">
      <text>
        <r>
          <rPr>
            <sz val="10"/>
            <rFont val="Arial"/>
            <family val="2"/>
          </rPr>
          <t>Activates or deactivates a placement's assignment to the creative/ad. 
Enter Yes to activate or No to deactivate.</t>
        </r>
      </text>
    </comment>
    <comment ref="Q1" authorId="0" shapeId="0" xr:uid="{1E5C9AA1-80F9-0A42-A5F6-D79C0780685C}">
      <text>
        <r>
          <rPr>
            <sz val="10"/>
            <color indexed="8"/>
            <rFont val="Arial"/>
            <family val="2"/>
          </rPr>
          <t>Required for existing placements. If you leave the field blank, a new placement will be created.</t>
        </r>
      </text>
    </comment>
    <comment ref="R1" authorId="0" shapeId="0" xr:uid="{5C95086F-AD01-584A-B139-044158072181}">
      <text>
        <r>
          <rPr>
            <sz val="10"/>
            <color indexed="8"/>
            <rFont val="Arial"/>
            <family val="2"/>
          </rPr>
          <t>Required in the first row of a new placement or ad.</t>
        </r>
      </text>
    </comment>
    <comment ref="S1" authorId="0" shapeId="0" xr:uid="{04AB1377-C182-7C49-B12F-83FAD6BBA22A}">
      <text>
        <r>
          <rPr>
            <sz val="10"/>
            <color indexed="8"/>
            <rFont val="Arial"/>
            <family val="2"/>
          </rPr>
          <t>Defaults to No if empty.</t>
        </r>
      </text>
    </comment>
    <comment ref="T1" authorId="0" shapeId="0" xr:uid="{5BCB632A-EDCC-F04A-A392-9CC5D31E7CFA}">
      <text>
        <r>
          <rPr>
            <sz val="10"/>
            <color indexed="8"/>
            <rFont val="Arial"/>
            <family val="2"/>
          </rPr>
          <t>Required in the first row of a new placement.</t>
        </r>
      </text>
    </comment>
    <comment ref="U1" authorId="0" shapeId="0" xr:uid="{22317942-6F35-D845-8490-CEFFE1C44A7D}">
      <text>
        <r>
          <rPr>
            <sz val="10"/>
            <color indexed="8"/>
            <rFont val="Arial"/>
            <family val="2"/>
          </rPr>
          <t>Required in the first row of a new placement.</t>
        </r>
      </text>
    </comment>
    <comment ref="V1" authorId="0" shapeId="0" xr:uid="{F100F0F3-D608-A54A-B6CB-26FE9A4FA1ED}">
      <text>
        <r>
          <rPr>
            <sz val="10"/>
            <color indexed="8"/>
            <rFont val="Arial"/>
            <family val="2"/>
          </rPr>
          <t>Required in the first row of a new placement.</t>
        </r>
      </text>
    </comment>
    <comment ref="W1" authorId="0" shapeId="0" xr:uid="{F87222B9-1661-5D49-93BD-E2EEBE372909}">
      <text>
        <r>
          <rPr>
            <sz val="10"/>
            <color indexed="8"/>
            <rFont val="Arial"/>
            <family val="2"/>
          </rPr>
          <t>The number of units paid for during the placement's period and cost structure (impressions, clicks, or actions). This field is read-only for flighted placements.</t>
        </r>
      </text>
    </comment>
    <comment ref="X1" authorId="0" shapeId="0" xr:uid="{60295713-83B1-854A-9D30-452D4EE5106F}">
      <text>
        <r>
          <rPr>
            <sz val="10"/>
            <rFont val="Arial"/>
            <family val="2"/>
          </rPr>
          <t>You can only edit cost for unflighted placements. To check if your placement is flighted, view its properties in DCM. For CPM, CPC, and CPA placements: enter a value for the units and the rate. The cost is calculated automatically. For flat-rate placements: enter the units and cost. The effective rate is calculated automatically.</t>
        </r>
      </text>
    </comment>
    <comment ref="Y1" authorId="0" shapeId="0" xr:uid="{7375FDA1-3E63-DD43-8EDB-B7FCE60BD93D}">
      <text>
        <r>
          <rPr>
            <sz val="10"/>
            <color indexed="8"/>
            <rFont val="Arial"/>
            <family val="2"/>
          </rPr>
          <t>Optional field to opt out of ad blocking for this specific placement. If this campaign does not have ad blocking enabled and/or the site has opted out of ad blocking, the default value will be No and updates to this field will be ignored.</t>
        </r>
      </text>
    </comment>
    <comment ref="Z1" authorId="0" shapeId="0" xr:uid="{E1EFE6DF-F18E-FB48-9780-B03DEB062320}">
      <text>
        <r>
          <rPr>
            <sz val="10"/>
            <rFont val="Arial"/>
            <family val="2"/>
          </rPr>
          <t>Identifies the ad.
To create a new ad: enter any alphanumeric value but the ID of an existing ad. You can also leave the cell blank. But note that if you leave multiple rows blank, DCM creates a different new ad for each row.
To modify an existing ad: enter the ad's ID, which can be found on the Ads tab.
To create a new ad with multiple creatives: add a row for each creative you wish to assign to the new ad. Enter the same Ad ID in each of these rows, and enter the different Creative IDs of the creatives you wish to assign to the placement.
For example, if you enter the Ad ID "Auto Advertisement" in three rows, DCM creates a new ad that includes the creatives identified under Creative ID in those three rows. Make sure the ID you enter includes at least one character that is neither a space nor a digit. For example, "1044A" and "Ad 1044" and "-1044" are all acceptable entries, but "1044" is not.
Keep the following in mind: (1) If you leave the Ad ID cells blank, DCM creates a different ad for each row, which means a different new ad for each creative you identify under Creative ID. (2) If you leave the Creative ID cell blank in these rows, DCM creates new creatives for each row. (3) The value in the Ad ID column will not become the name of the new ad.</t>
        </r>
      </text>
    </comment>
    <comment ref="AA1" authorId="0" shapeId="0" xr:uid="{EEA87111-EDBA-1A4C-AFFD-5AD21FD38F39}">
      <text>
        <r>
          <rPr>
            <sz val="10"/>
            <rFont val="Arial"/>
            <family val="2"/>
          </rPr>
          <t>The ad name. 
For new ads: the value you enter here becomes the name of the new ad.
For existing ads: the name of your existing ad is already indicated here. Any changes you make are ignored.</t>
        </r>
      </text>
    </comment>
    <comment ref="AB1" authorId="0" shapeId="0" xr:uid="{74CE0F37-1AA8-C146-95A2-825BECC6293D}">
      <text>
        <r>
          <rPr>
            <sz val="10"/>
            <rFont val="Arial"/>
            <family val="2"/>
          </rPr>
          <t>The ad's type. For existing ads, changes to this field are ignored. For new ads, this field is required.</t>
        </r>
      </text>
    </comment>
    <comment ref="AC1" authorId="0" shapeId="0" xr:uid="{D5554548-0DC9-E742-8F60-3C9F80D80644}">
      <text>
        <r>
          <rPr>
            <sz val="10"/>
            <rFont val="Arial"/>
            <family val="2"/>
          </rPr>
          <t>Activates or deactivates the ad. Enter Yes to activate the ad or No to deactivate it.</t>
        </r>
      </text>
    </comment>
    <comment ref="AD1" authorId="0" shapeId="0" xr:uid="{E7650673-6F9C-204A-A295-2D18FCFE5E45}">
      <text>
        <r>
          <rPr>
            <sz val="10"/>
            <rFont val="Arial"/>
            <family val="2"/>
          </rPr>
          <t>The date and time the ad ends.</t>
        </r>
      </text>
    </comment>
    <comment ref="AE1" authorId="0" shapeId="0" xr:uid="{06D1BA12-4239-0D4E-AC26-49FFA57A7862}">
      <text>
        <r>
          <rPr>
            <sz val="10"/>
            <rFont val="Arial"/>
            <family val="2"/>
          </rPr>
          <t>This column determines whether your click tracker ad uses the campaign's default landing page.
In DCM, you can find the landing page URL used for your click tracker ad in the ad properties.
Enter Yes to use the default landing page or No to use an alternative URL. See "Ad Landing Page ID" below for help choosing another URL.</t>
        </r>
      </text>
    </comment>
    <comment ref="AF1" authorId="0" shapeId="0" xr:uid="{FB9A28A4-8589-9741-8871-F14401348F79}">
      <text>
        <r>
          <rPr>
            <sz val="10"/>
            <rFont val="Arial"/>
            <family val="2"/>
          </rPr>
          <t>This field shows the ID of the landing page URL used for your click tracker ad. It corresponds to the URL in your ad properties in DCM. If your click tracker ad uses a custom or default landing page, this field will be blank.
- To choose a landing page for your click tracker ad, enter the ID of any of the landing pages set up in your campaign properties.
- If you wish to use a default landing page for the campaign or a custom click-through URL, leave this field blank.</t>
        </r>
      </text>
    </comment>
    <comment ref="AG1" authorId="0" shapeId="0" xr:uid="{0CAD0145-025B-D94B-B776-995B039BAB68}">
      <text>
        <r>
          <rPr>
            <sz val="10"/>
            <color indexed="8"/>
            <rFont val="Arial"/>
            <family val="2"/>
          </rPr>
          <t xml:space="preserve">This field shows the landing page name of the click tracker URL. It is informational only. Changing it will not affect your campaign.
</t>
        </r>
        <r>
          <rPr>
            <sz val="10"/>
            <color indexed="8"/>
            <rFont val="Arial"/>
            <family val="2"/>
          </rPr>
          <t xml:space="preserve">
</t>
        </r>
        <r>
          <rPr>
            <sz val="10"/>
            <color indexed="8"/>
            <rFont val="Arial"/>
            <family val="2"/>
          </rPr>
          <t>In DCM, you can create landing pages in your campaign properties so that you can easily reference them throughout your campaign. If you choose one of these landing pages for your click tracker ad in DCM, its name will appear here. If you enter a custom URL in the click tracker ad properties, this field will be blank.</t>
        </r>
      </text>
    </comment>
    <comment ref="AH1" authorId="0" shapeId="0" xr:uid="{333F2B73-8DB8-394E-B165-7E0BFC7DC76A}">
      <text>
        <r>
          <rPr>
            <sz val="10"/>
            <rFont val="Arial"/>
            <family val="2"/>
          </rPr>
          <t>This field shows the click-through URL of your click tracker. You can find this URL in your click tracker ad properties in DCM. DCM ignores this field upon import unless you specify a custom URL.
- To use your campaign's default landing page URL, set "Ad Uses Default Landing Page" to Yes, and leave the Ad Landing Page ID blank.
- To choose another landing page URL that you have already created in DCM, set "Ad Uses Default Landing Page" to No and enter the landing page ID under "Ad Landing Page ID." When you import, DCM will use the URL that corresponds to the ID, ignoring this field.
- To enter a custom URL, set "Ad Uses Default Landing Page" to No, leave the "Ad Landing Page ID" blank, and enter your URL under "Ad Click-Through URL."</t>
        </r>
      </text>
    </comment>
    <comment ref="AI1" authorId="0" shapeId="0" xr:uid="{A8150465-6AF5-B843-937B-2D20BB222EF4}">
      <text>
        <r>
          <rPr>
            <sz val="10"/>
            <rFont val="Arial"/>
            <family val="2"/>
          </rPr>
          <t>Enter Yes to prevent the ad from being served past the end date and time. If you enter No, the ad will continue to be served until it has reached its delivery goals.</t>
        </r>
      </text>
    </comment>
    <comment ref="AJ1" authorId="0" shapeId="0" xr:uid="{06880C30-E883-8C46-848D-4AA0247CA8A7}">
      <text>
        <r>
          <rPr>
            <sz val="10"/>
            <rFont val="Arial"/>
            <family val="2"/>
          </rPr>
          <t>The priority you set for an ad determines how it is served in relation to other ads. The lower the priority number, the greater the priority with which it is served. 
Enter a value from 1 to 16, or leave this field blank to use the default priority. 
Important: Changing the priority of an ad from the default can change when other ads are served or even prevent them from being served. If you are not certain which priority to enter, you may wish to leave this field blank and use the default value.</t>
        </r>
      </text>
    </comment>
    <comment ref="AK1" authorId="0" shapeId="0" xr:uid="{1E29FFC6-FD62-2E4F-92DF-B8A856A3BC1D}">
      <text>
        <r>
          <rPr>
            <sz val="10"/>
            <rFont val="Arial"/>
            <family val="2"/>
          </rPr>
          <t>The impression ratio for the ad, used if you want to serve the ad only as often as needed to keep its number of impressions in proportion to those of other ads in the campaign. If you don't want to set an impression ratio, leave this field blank.</t>
        </r>
      </text>
    </comment>
    <comment ref="AL1" authorId="0" shapeId="0" xr:uid="{3723F4A9-6054-174E-9297-79C04C477AF7}">
      <text>
        <r>
          <rPr>
            <sz val="10"/>
            <rFont val="Arial"/>
            <family val="2"/>
          </rPr>
          <t>Specify the rotation of multiple creatives in an ad. Your options are Weighted or Sequential. You must also enter a Rotation Value. If Random is selected you must also specify a weight calculation strategy. This field is not required for click trackers and tracking ads.</t>
        </r>
      </text>
    </comment>
    <comment ref="AM1" authorId="0" shapeId="0" xr:uid="{50E12DD7-6429-E94F-8DAA-88E99672F730}">
      <text>
        <r>
          <rPr>
            <sz val="10"/>
            <rFont val="Arial"/>
            <family val="2"/>
          </rPr>
          <t>Set how the ad's creative assignment weights should be calculated. This field only applies to ads that have a rotation type of Weighted.</t>
        </r>
      </text>
    </comment>
    <comment ref="AN1" authorId="0" shapeId="0" xr:uid="{22A5445E-9B56-C04D-B248-CC67363AF02B}">
      <text>
        <r>
          <rPr>
            <sz val="10"/>
            <rFont val="Arial"/>
            <family val="2"/>
          </rPr>
          <t>Specify the sequence or weight depending on the rotation type.</t>
        </r>
      </text>
    </comment>
    <comment ref="AO1" authorId="0" shapeId="0" xr:uid="{E80D0345-DEC0-0C49-A7A8-FE1AFF46200E}">
      <text>
        <r>
          <rPr>
            <sz val="10"/>
            <rFont val="Arial"/>
            <family val="2"/>
          </rPr>
          <t>Enter the name of the segment group for each segment under the Audience Segment Name column. You cannot add or delete segment groups here.
This is not necessary unless you need to distinguish segments from two different groups (when the segments have the same name).</t>
        </r>
      </text>
    </comment>
    <comment ref="AP1" authorId="0" shapeId="0" xr:uid="{8190A770-B94C-0D42-99DB-32C8DB2F19EA}">
      <text>
        <r>
          <rPr>
            <sz val="10"/>
            <rFont val="Arial"/>
            <family val="2"/>
          </rPr>
          <t>Enter the name of an existing segment to assign it to an ad in the same row. To remove a segment assignment, clear the cell.
You cannot create new segments here.</t>
        </r>
      </text>
    </comment>
    <comment ref="AQ1" authorId="0" shapeId="0" xr:uid="{0D50EE5F-4B05-8C4A-923D-379B7ECD303B}">
      <text>
        <r>
          <rPr>
            <sz val="10"/>
            <rFont val="Arial"/>
            <family val="2"/>
          </rPr>
          <t>Enter the ID of the creative you are assigning to a placement and/or associating with an ad. Creative IDs can be found on the Creatives tab. If you are creating a click tracker, or if you are creating a new standard ad and don't want to associate a creative, leave this field blank.</t>
        </r>
      </text>
    </comment>
    <comment ref="AR1" authorId="0" shapeId="0" xr:uid="{50826D0D-82CC-6146-A702-55BDE38B48E0}">
      <text>
        <r>
          <rPr>
            <sz val="10"/>
            <rFont val="Arial"/>
            <family val="2"/>
          </rPr>
          <t>The name of the creative. Not required and is ignored when you upload the Traffic Sheet.</t>
        </r>
      </text>
    </comment>
    <comment ref="AS1" authorId="0" shapeId="0" xr:uid="{30BCCB00-D1A0-A240-BA6C-849754AF5700}">
      <text>
        <r>
          <rPr>
            <sz val="10"/>
            <rFont val="Arial"/>
            <family val="2"/>
          </rPr>
          <t>The type of creative. Not required and will be ignored during upload.</t>
        </r>
      </text>
    </comment>
    <comment ref="AT1" authorId="0" shapeId="0" xr:uid="{74B77B11-6155-C645-AE3C-F9B454975CFC}">
      <text>
        <r>
          <rPr>
            <sz val="10"/>
            <rFont val="Arial"/>
            <family val="2"/>
          </rPr>
          <t>The compatibility of the creative. Not required and will be ignored during upload.</t>
        </r>
      </text>
    </comment>
    <comment ref="AU1" authorId="0" shapeId="0" xr:uid="{4410E92C-4739-F54B-8EE5-EC255341C9FB}">
      <text>
        <r>
          <rPr>
            <sz val="10"/>
            <rFont val="Arial"/>
            <family val="2"/>
          </rPr>
          <t>The date on which a creative in an ad will start being delivered. 
To use the ad's start time, leave this field blank. This field is ignored for click trackers, or if you have not specified a Creative ID.</t>
        </r>
      </text>
    </comment>
    <comment ref="AV1" authorId="0" shapeId="0" xr:uid="{3D2E6B9B-76AF-E547-B6A1-DB451AFD5F19}">
      <text>
        <r>
          <rPr>
            <sz val="10"/>
            <rFont val="Arial"/>
            <family val="2"/>
          </rPr>
          <t>The date on which a creative in an ad will stop being delivered. 
To use the ad's end time, leave this field blank. This field is ignored for click trackers, or if you have not specified a Creative ID.</t>
        </r>
      </text>
    </comment>
    <comment ref="AW1" authorId="0" shapeId="0" xr:uid="{D073003E-82AE-C043-B8E2-A70AD58D0B4D}">
      <text>
        <r>
          <rPr>
            <sz val="10"/>
            <rFont val="Arial"/>
            <family val="2"/>
          </rPr>
          <t>Enter Yes to activate the creative, No to deactivate it. Inactive creatives will not be served. This field is ignored for click trackers or if you have not specified a Creative ID.</t>
        </r>
      </text>
    </comment>
    <comment ref="AX1" authorId="0" shapeId="0" xr:uid="{BF704190-9EEE-5041-816B-0543255980AE}">
      <text>
        <r>
          <rPr>
            <sz val="10"/>
            <rFont val="Arial"/>
            <family val="2"/>
          </rPr>
          <t xml:space="preserve">This column determines whether your creative uses the campaign default landing page when it serves with an ad. It corresponds to the URL you set under "Creative assignments" in the ad properties.
- Enter Yes to use the campaign default landing page or No to use an alternative URL. Make sure that "Creative Landing Page ID" and "Creative Click-Through URL" are blank.
- If you're setting this field for a display, rich media, or display image gallery creative that has multiple exits and you select Yes, the default landing page will apply to every exit in the creative. If you need to set different destinations for each exit, use "Creative Click-Through URL".
- If you wish to use a landing page set in your campaign properties or a custom click-through URL, leave this field blank and fill out the appropriate column.
</t>
        </r>
      </text>
    </comment>
  </commentList>
</comments>
</file>

<file path=xl/sharedStrings.xml><?xml version="1.0" encoding="utf-8"?>
<sst xmlns="http://schemas.openxmlformats.org/spreadsheetml/2006/main" count="229" uniqueCount="77">
  <si>
    <t>AdID</t>
  </si>
  <si>
    <t>AdType</t>
  </si>
  <si>
    <t>Name</t>
  </si>
  <si>
    <t>ThirdPartyServableAdCreativeHeight</t>
  </si>
  <si>
    <t>ThirdPartyServableAdCreativeWidth</t>
  </si>
  <si>
    <t>Creative</t>
  </si>
  <si>
    <t>LimitedTimeStartDate</t>
  </si>
  <si>
    <t>LimitedTimeEndDate</t>
  </si>
  <si>
    <t>LandingPage</t>
  </si>
  <si>
    <t>Language</t>
  </si>
  <si>
    <t>LinkText</t>
  </si>
  <si>
    <t>RestrictedToPartners</t>
  </si>
  <si>
    <t>CampaignId</t>
  </si>
  <si>
    <t>HostedBy</t>
  </si>
  <si>
    <t>IabAdUnit</t>
  </si>
  <si>
    <t>LimitedTimeZone</t>
  </si>
  <si>
    <t>Description</t>
  </si>
  <si>
    <t>Labels</t>
  </si>
  <si>
    <t>AllowDeepLinking</t>
  </si>
  <si>
    <t>MobileReady</t>
  </si>
  <si>
    <t>CouponAllowCustomPromoCode</t>
  </si>
  <si>
    <t>CustomisationCharge</t>
  </si>
  <si>
    <t>BannerAlternativeTag</t>
  </si>
  <si>
    <t>iOSMobileFallbackAppId</t>
  </si>
  <si>
    <t>AndroidMobileFallbackAppId</t>
  </si>
  <si>
    <t>FallbackAd</t>
  </si>
  <si>
    <t>GetHtmlCodeType</t>
  </si>
  <si>
    <t>Season</t>
  </si>
  <si>
    <t>TopSeller</t>
  </si>
  <si>
    <t>RestrictedToGroups</t>
  </si>
  <si>
    <t>Metadata</t>
  </si>
  <si>
    <t>DealName</t>
  </si>
  <si>
    <t>DealType</t>
  </si>
  <si>
    <t>DealScope</t>
  </si>
  <si>
    <t>DealDescription</t>
  </si>
  <si>
    <t>DealProducts</t>
  </si>
  <si>
    <t>DealCategories</t>
  </si>
  <si>
    <t>DealPromoCode</t>
  </si>
  <si>
    <t>DealDiscountType</t>
  </si>
  <si>
    <t>DealDiscountAmount</t>
  </si>
  <si>
    <t>DealDiscountPercent</t>
  </si>
  <si>
    <t>DealDiscountStartPercent</t>
  </si>
  <si>
    <t>DealDiscountEndPercent</t>
  </si>
  <si>
    <t>DealDiscountMaximumPercent</t>
  </si>
  <si>
    <t>DealGift</t>
  </si>
  <si>
    <t>DealRebate</t>
  </si>
  <si>
    <t>DealMinimumPurchaseAmount</t>
  </si>
  <si>
    <t>DealMaximumPurchaseAmount</t>
  </si>
  <si>
    <t>DealBogoPurchaseLimit</t>
  </si>
  <si>
    <t>DealBogoBuyQty</t>
  </si>
  <si>
    <t>DealBogoBuyType</t>
  </si>
  <si>
    <t>DealBogoBuyName</t>
  </si>
  <si>
    <t>DealBogoGetQty</t>
  </si>
  <si>
    <t>DealBogoGetType</t>
  </si>
  <si>
    <t>DealBogoGetName</t>
  </si>
  <si>
    <t>DealBogoGetDiscountType</t>
  </si>
  <si>
    <t>DealBogoGetDiscountAmount</t>
  </si>
  <si>
    <t>DealBogoGetDiscountPercent</t>
  </si>
  <si>
    <t>DealSyncAdsPromoCodes</t>
  </si>
  <si>
    <t>BANNER</t>
  </si>
  <si>
    <t>2021-10-01T00:00:00-04:00</t>
  </si>
  <si>
    <t>2022-09-30T23:59:00-04:00</t>
  </si>
  <si>
    <t>https://plus.espn.com</t>
  </si>
  <si>
    <t>ENGLISH</t>
  </si>
  <si>
    <t>IR</t>
  </si>
  <si>
    <t>CUSTOM</t>
  </si>
  <si>
    <t>America/New_York</t>
  </si>
  <si>
    <t>HTML_AND_IFRAME</t>
  </si>
  <si>
    <t>VIDEO</t>
  </si>
  <si>
    <t>1080_:30</t>
  </si>
  <si>
    <t>TEXT_LINK</t>
  </si>
  <si>
    <t>Partner ID1, Partner ID2</t>
  </si>
  <si>
    <t>INSERT TEXT INFO HERE OR TYPE N/A</t>
  </si>
  <si>
    <t>1080_15</t>
  </si>
  <si>
    <t>1920_15</t>
  </si>
  <si>
    <t>1080_30</t>
  </si>
  <si>
    <t>1920_30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</si>
</sst>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5" x14ac:knownFonts="1">
    <font>
      <sz val="12"/>
      <color theme="1"/>
      <name val="Calibri"/>
      <family val="2"/>
      <scheme val="minor"/>
    </font>
    <font>
      <b/>
      <sz val="10"/>
      <name val="Arial"/>
      <family val="2"/>
    </font>
    <font>
      <sz val="10"/>
      <color indexed="8"/>
      <name val="Arial"/>
      <family val="2"/>
    </font>
    <font>
      <sz val="10"/>
      <color rgb="FF000000"/>
      <name val="Arial"/>
      <family val="2"/>
    </font>
    <font>
      <sz val="10"/>
      <name val="Arial"/>
      <family val="2"/>
    </font>
  </fonts>
  <fills count="9">
    <fill>
      <patternFill patternType="none"/>
    </fill>
    <fill>
      <patternFill patternType="gray125"/>
    </fill>
    <fill>
      <patternFill patternType="solid">
        <fgColor indexed="42"/>
        <bgColor indexed="27"/>
      </patternFill>
    </fill>
    <fill>
      <patternFill patternType="solid">
        <fgColor theme="1" tint="0.499984740745262"/>
        <bgColor indexed="27"/>
      </patternFill>
    </fill>
    <fill>
      <patternFill patternType="solid">
        <fgColor theme="4" tint="0.59999389629810485"/>
        <bgColor indexed="64"/>
      </patternFill>
    </fill>
    <fill>
      <patternFill patternType="solid">
        <fgColor theme="1" tint="0.499984740745262"/>
        <bgColor indexed="64"/>
      </patternFill>
    </fill>
    <fill>
      <patternFill patternType="solid">
        <fgColor theme="1"/>
        <bgColor indexed="64"/>
      </patternFill>
    </fill>
    <fill>
      <patternFill patternType="solid">
        <fgColor theme="5" tint="0.59999389629810485"/>
        <bgColor indexed="64"/>
      </patternFill>
    </fill>
    <fill>
      <patternFill patternType="solid">
        <fgColor theme="7" tint="0.59999389629810485"/>
        <bgColor indexed="64"/>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s>
  <cellStyleXfs count="1">
    <xf numFmtId="0" fontId="0" fillId="0" borderId="0"/>
  </cellStyleXfs>
  <cellXfs count="26">
    <xf numFmtId="0" fontId="0" fillId="0" borderId="0" xfId="0"/>
    <xf numFmtId="0" fontId="1" fillId="7" borderId="0" xfId="0" applyFont="1" applyFill="1" applyAlignment="1">
      <alignment horizontal="right"/>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3" borderId="3" xfId="0" applyFont="1" applyFill="1" applyBorder="1" applyAlignment="1">
      <alignment horizontal="left" vertical="center"/>
    </xf>
    <xf numFmtId="49" fontId="1" fillId="2" borderId="2" xfId="0" applyNumberFormat="1" applyFont="1" applyFill="1" applyBorder="1" applyAlignment="1">
      <alignment horizontal="left" vertical="center"/>
    </xf>
    <xf numFmtId="164" fontId="1" fillId="2" borderId="2" xfId="0" applyNumberFormat="1" applyFont="1" applyFill="1" applyBorder="1" applyAlignment="1">
      <alignment horizontal="left" vertical="center"/>
    </xf>
    <xf numFmtId="0" fontId="1" fillId="2" borderId="4" xfId="0" applyFont="1" applyFill="1" applyBorder="1" applyAlignment="1">
      <alignment horizontal="left" vertical="center"/>
    </xf>
    <xf numFmtId="0" fontId="0" fillId="4" borderId="5" xfId="0" applyFill="1" applyBorder="1" applyAlignment="1"/>
    <xf numFmtId="0" fontId="0" fillId="4" borderId="0" xfId="0" applyFill="1" applyAlignment="1"/>
    <xf numFmtId="0" fontId="0" fillId="5" borderId="6" xfId="0" applyFill="1" applyBorder="1" applyAlignment="1"/>
    <xf numFmtId="0" fontId="1" fillId="4" borderId="0" xfId="0" applyFont="1" applyFill="1" applyAlignment="1"/>
    <xf numFmtId="0" fontId="0" fillId="6" borderId="6" xfId="0" applyFill="1" applyBorder="1" applyAlignment="1"/>
    <xf numFmtId="164" fontId="0" fillId="4" borderId="0" xfId="0" applyNumberFormat="1" applyFill="1" applyAlignment="1"/>
    <xf numFmtId="0" fontId="0" fillId="4" borderId="7" xfId="0" applyFill="1" applyBorder="1" applyAlignment="1"/>
    <xf numFmtId="0" fontId="0" fillId="7" borderId="5" xfId="0" applyFill="1" applyBorder="1" applyAlignment="1"/>
    <xf numFmtId="0" fontId="0" fillId="7" borderId="0" xfId="0" applyFill="1" applyAlignment="1"/>
    <xf numFmtId="0" fontId="1" fillId="7" borderId="0" xfId="0" applyFont="1" applyFill="1" applyAlignment="1"/>
    <xf numFmtId="8" fontId="0" fillId="7" borderId="0" xfId="0" applyNumberFormat="1" applyFill="1" applyAlignment="1"/>
    <xf numFmtId="164" fontId="0" fillId="7" borderId="0" xfId="0" applyNumberFormat="1" applyFill="1" applyAlignment="1"/>
    <xf numFmtId="0" fontId="0" fillId="7" borderId="7" xfId="0" applyFill="1" applyBorder="1" applyAlignment="1"/>
    <xf numFmtId="0" fontId="0" fillId="8" borderId="5" xfId="0" applyFill="1" applyBorder="1" applyAlignment="1"/>
    <xf numFmtId="0" fontId="0" fillId="8" borderId="0" xfId="0" applyFill="1" applyAlignment="1"/>
    <xf numFmtId="0" fontId="0" fillId="6" borderId="0" xfId="0" applyFill="1" applyAlignment="1"/>
    <xf numFmtId="164" fontId="0" fillId="8" borderId="0" xfId="0" applyNumberFormat="1" applyFill="1" applyAlignment="1"/>
    <xf numFmtId="0" fontId="0" fillId="8" borderId="7"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Drop" dropStyle="simple" dx="15" sel="0" val="0" widthMin="104"/>
</file>

<file path=xl/ctrlProps/ctrlProp2.xml><?xml version="1.0" encoding="utf-8"?>
<formControlPr xmlns="http://schemas.microsoft.com/office/spreadsheetml/2009/9/main" objectType="Drop" dropStyle="simple" dx="15" sel="0" val="0" widthMin="55"/>
</file>

<file path=xl/ctrlProps/ctrlProp3.xml><?xml version="1.0" encoding="utf-8"?>
<formControlPr xmlns="http://schemas.microsoft.com/office/spreadsheetml/2009/9/main" objectType="Drop" dropStyle="simple" dx="15" sel="0" val="0" widthMin="55"/>
</file>

<file path=xl/ctrlProps/ctrlProp4.xml><?xml version="1.0" encoding="utf-8"?>
<formControlPr xmlns="http://schemas.microsoft.com/office/spreadsheetml/2009/9/main" objectType="Drop" dropStyle="simple" dx="15" sel="0" val="0" widthMin="55"/>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0</xdr:colOff>
          <xdr:row>1</xdr:row>
          <xdr:rowOff>127000</xdr:rowOff>
        </xdr:to>
        <xdr:sp macro="" textlink="">
          <xdr:nvSpPr>
            <xdr:cNvPr id="1025" name="Drop Down 322"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25</xdr:col>
          <xdr:colOff>0</xdr:colOff>
          <xdr:row>2</xdr:row>
          <xdr:rowOff>0</xdr:rowOff>
        </xdr:from>
        <xdr:to>
          <xdr:col>25</xdr:col>
          <xdr:colOff>12700</xdr:colOff>
          <xdr:row>3</xdr:row>
          <xdr:rowOff>127000</xdr:rowOff>
        </xdr:to>
        <xdr:sp macro="" textlink="">
          <xdr:nvSpPr>
            <xdr:cNvPr id="1026" name="Drop Down 323"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25</xdr:col>
          <xdr:colOff>0</xdr:colOff>
          <xdr:row>7</xdr:row>
          <xdr:rowOff>0</xdr:rowOff>
        </xdr:from>
        <xdr:to>
          <xdr:col>25</xdr:col>
          <xdr:colOff>12700</xdr:colOff>
          <xdr:row>8</xdr:row>
          <xdr:rowOff>127000</xdr:rowOff>
        </xdr:to>
        <xdr:sp macro="" textlink="">
          <xdr:nvSpPr>
            <xdr:cNvPr id="1027" name="Drop Down 324"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25</xdr:col>
          <xdr:colOff>0</xdr:colOff>
          <xdr:row>1</xdr:row>
          <xdr:rowOff>0</xdr:rowOff>
        </xdr:from>
        <xdr:to>
          <xdr:col>25</xdr:col>
          <xdr:colOff>12700</xdr:colOff>
          <xdr:row>2</xdr:row>
          <xdr:rowOff>127000</xdr:rowOff>
        </xdr:to>
        <xdr:sp macro="" textlink="">
          <xdr:nvSpPr>
            <xdr:cNvPr id="1028" name="Drop Down 325"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7"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D8063-8D7D-004D-9EDB-3DD5E61A9502}">
  <dimension ref="A1:BG19"/>
  <sheetViews>
    <sheetView tabSelected="1" workbookViewId="0">
      <selection activeCell="A2" sqref="A2"/>
    </sheetView>
  </sheetViews>
  <sheetFormatPr baseColWidth="10" defaultColWidth="11" defaultRowHeight="16" x14ac:dyDescent="0.2"/>
  <cols>
    <col min="1" max="1" width="5" bestFit="1" customWidth="1"/>
    <col min="2" max="2" width="9.83203125" bestFit="1" customWidth="1"/>
    <col min="3" max="3" width="29.33203125" bestFit="1" customWidth="1"/>
    <col min="4" max="5" width="10.83203125" bestFit="1" customWidth="1"/>
    <col min="6" max="6" width="32.5" bestFit="1" customWidth="1"/>
    <col min="7" max="8" width="24" bestFit="1" customWidth="1"/>
    <col min="9" max="9" width="19.33203125" bestFit="1" customWidth="1"/>
    <col min="10" max="10" width="9.1640625" bestFit="1" customWidth="1"/>
    <col min="11" max="11" width="33.1640625" bestFit="1" customWidth="1"/>
    <col min="12" max="12" width="20.6640625" bestFit="1" customWidth="1"/>
    <col min="13" max="13" width="10.83203125" bestFit="1" customWidth="1"/>
    <col min="14" max="15" width="9" bestFit="1" customWidth="1"/>
    <col min="16" max="16" width="17.33203125" bestFit="1" customWidth="1"/>
    <col min="17" max="17" width="10.5" bestFit="1" customWidth="1"/>
    <col min="18" max="18" width="6.6640625" bestFit="1" customWidth="1"/>
    <col min="19" max="19" width="10.83203125" bestFit="1" customWidth="1"/>
    <col min="20" max="20" width="10.6640625" bestFit="1" customWidth="1"/>
    <col min="21" max="21" width="10.5" bestFit="1" customWidth="1"/>
    <col min="22" max="25" width="10.83203125" bestFit="1" customWidth="1"/>
    <col min="26" max="26" width="10.33203125" bestFit="1" customWidth="1"/>
    <col min="27" max="27" width="18.1640625" bestFit="1" customWidth="1"/>
    <col min="28" max="28" width="7.33203125" bestFit="1" customWidth="1"/>
    <col min="29" max="29" width="9" bestFit="1" customWidth="1"/>
    <col min="30" max="30" width="10.5" bestFit="1" customWidth="1"/>
    <col min="31" max="31" width="8.5" bestFit="1" customWidth="1"/>
    <col min="32" max="32" width="9.5" bestFit="1" customWidth="1"/>
    <col min="33" max="33" width="8.83203125" bestFit="1" customWidth="1"/>
    <col min="34" max="34" width="10" bestFit="1" customWidth="1"/>
    <col min="35" max="35" width="10.1640625" bestFit="1" customWidth="1"/>
    <col min="36" max="36" width="10.6640625" bestFit="1" customWidth="1"/>
    <col min="37" max="37" width="10.5" bestFit="1" customWidth="1"/>
    <col min="38" max="38" width="10.1640625" bestFit="1" customWidth="1"/>
    <col min="39" max="42" width="10.5" bestFit="1" customWidth="1"/>
    <col min="43" max="43" width="10.6640625" bestFit="1" customWidth="1"/>
    <col min="44" max="44" width="10.5" bestFit="1" customWidth="1"/>
    <col min="45" max="45" width="7.6640625" bestFit="1" customWidth="1"/>
    <col min="46" max="46" width="10.5" bestFit="1" customWidth="1"/>
    <col min="47" max="47" width="10.6640625" bestFit="1" customWidth="1"/>
    <col min="48" max="48" width="10.5" bestFit="1" customWidth="1"/>
    <col min="49" max="49" width="10.83203125" bestFit="1" customWidth="1"/>
    <col min="50" max="52" width="10.1640625" bestFit="1" customWidth="1"/>
    <col min="53" max="55" width="10.33203125" bestFit="1" customWidth="1"/>
    <col min="56" max="56" width="10.83203125" bestFit="1" customWidth="1"/>
    <col min="59" max="59" width="10.6640625" bestFit="1" customWidth="1"/>
  </cols>
  <sheetData>
    <row r="1" spans="1:59" ht="17" thickBot="1" x14ac:dyDescent="0.25">
      <c r="A1" s="2" t="s">
        <v>0</v>
      </c>
      <c r="B1" s="3" t="s">
        <v>1</v>
      </c>
      <c r="C1" s="3" t="s">
        <v>2</v>
      </c>
      <c r="D1" s="3" t="s">
        <v>3</v>
      </c>
      <c r="E1" s="3" t="s">
        <v>4</v>
      </c>
      <c r="F1" s="4" t="s">
        <v>5</v>
      </c>
      <c r="G1" s="4" t="s">
        <v>6</v>
      </c>
      <c r="H1" s="4" t="s">
        <v>7</v>
      </c>
      <c r="I1" s="4" t="s">
        <v>8</v>
      </c>
      <c r="J1" s="4" t="s">
        <v>9</v>
      </c>
      <c r="K1" s="4" t="s">
        <v>10</v>
      </c>
      <c r="L1" s="4" t="s">
        <v>11</v>
      </c>
      <c r="M1" s="3" t="s">
        <v>12</v>
      </c>
      <c r="N1" s="3" t="s">
        <v>13</v>
      </c>
      <c r="O1" s="3" t="s">
        <v>14</v>
      </c>
      <c r="P1" s="3" t="s">
        <v>15</v>
      </c>
      <c r="Q1" s="3" t="s">
        <v>16</v>
      </c>
      <c r="R1" s="3" t="s">
        <v>17</v>
      </c>
      <c r="S1" s="3" t="s">
        <v>18</v>
      </c>
      <c r="T1" s="5" t="s">
        <v>19</v>
      </c>
      <c r="U1" s="5" t="s">
        <v>20</v>
      </c>
      <c r="V1" s="6" t="s">
        <v>21</v>
      </c>
      <c r="W1" s="3" t="s">
        <v>22</v>
      </c>
      <c r="X1" s="3" t="s">
        <v>23</v>
      </c>
      <c r="Y1" s="3" t="s">
        <v>24</v>
      </c>
      <c r="Z1" s="3" t="s">
        <v>25</v>
      </c>
      <c r="AA1" s="3" t="s">
        <v>26</v>
      </c>
      <c r="AB1" s="3" t="s">
        <v>27</v>
      </c>
      <c r="AC1" s="3" t="s">
        <v>28</v>
      </c>
      <c r="AD1" s="5"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7" t="s">
        <v>58</v>
      </c>
    </row>
    <row r="2" spans="1:59" x14ac:dyDescent="0.2">
      <c r="A2" s="8"/>
      <c r="B2" s="9" t="s">
        <v>59</v>
      </c>
      <c r="C2" s="10" t="str">
        <f t="shared" ref="C2:C18" si="0">TRIM(MID(SUBSTITUTE(K2,"_",REPT(" ",LEN(K2))),(7-1)*LEN(K2)+1,LEN(K2)))&amp;"_"&amp;J2&amp;"_"&amp;B2&amp;"_"&amp;D2&amp;"x"&amp;E2</f>
        <v>_ENGLISH_BANNER_160x600</v>
      </c>
      <c r="D2" s="11">
        <v>160</v>
      </c>
      <c r="E2" s="11">
        <v>600</v>
      </c>
      <c r="F2" s="10" t="str">
        <f>C2&amp;".jpg"</f>
        <v>_ENGLISH_BANNER_160x600.jpg</v>
      </c>
      <c r="G2" s="10" t="s">
        <v>60</v>
      </c>
      <c r="H2" s="10" t="s">
        <v>61</v>
      </c>
      <c r="I2" s="10" t="s">
        <v>62</v>
      </c>
      <c r="J2" s="10" t="s">
        <v>63</v>
      </c>
      <c r="K2" s="10"/>
      <c r="L2" s="12"/>
      <c r="M2" s="9">
        <v>9070</v>
      </c>
      <c r="N2" s="9" t="s">
        <v>64</v>
      </c>
      <c r="O2" s="9" t="s">
        <v>65</v>
      </c>
      <c r="P2" s="9" t="s">
        <v>66</v>
      </c>
      <c r="Q2" s="9"/>
      <c r="R2" s="9"/>
      <c r="S2" s="9" t="b">
        <v>1</v>
      </c>
      <c r="T2" s="9" t="b">
        <v>1</v>
      </c>
      <c r="U2" s="9" t="b">
        <v>0</v>
      </c>
      <c r="V2" s="13">
        <v>0</v>
      </c>
      <c r="W2" s="9"/>
      <c r="X2" s="9"/>
      <c r="Y2" s="9"/>
      <c r="Z2" s="9"/>
      <c r="AA2" s="9" t="s">
        <v>67</v>
      </c>
      <c r="AB2" s="9"/>
      <c r="AC2" s="9" t="b">
        <v>0</v>
      </c>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14"/>
    </row>
    <row r="3" spans="1:59" x14ac:dyDescent="0.2">
      <c r="A3" s="8"/>
      <c r="B3" s="9" t="s">
        <v>59</v>
      </c>
      <c r="C3" s="10" t="str">
        <f t="shared" si="0"/>
        <v>_ENGLISH_BANNER_250x250</v>
      </c>
      <c r="D3" s="11">
        <v>250</v>
      </c>
      <c r="E3" s="11">
        <v>250</v>
      </c>
      <c r="F3" s="10" t="str">
        <f t="shared" ref="F3:F12" si="1">C3&amp;".jpg"</f>
        <v>_ENGLISH_BANNER_250x250.jpg</v>
      </c>
      <c r="G3" s="10" t="s">
        <v>60</v>
      </c>
      <c r="H3" s="10" t="s">
        <v>61</v>
      </c>
      <c r="I3" s="10" t="s">
        <v>62</v>
      </c>
      <c r="J3" s="10" t="s">
        <v>63</v>
      </c>
      <c r="K3" s="10"/>
      <c r="L3" s="12"/>
      <c r="M3" s="9">
        <v>9070</v>
      </c>
      <c r="N3" s="9" t="s">
        <v>64</v>
      </c>
      <c r="O3" s="9" t="s">
        <v>65</v>
      </c>
      <c r="P3" s="9" t="s">
        <v>66</v>
      </c>
      <c r="Q3" s="9"/>
      <c r="R3" s="9"/>
      <c r="S3" s="9" t="b">
        <v>1</v>
      </c>
      <c r="T3" s="9" t="b">
        <v>1</v>
      </c>
      <c r="U3" s="9" t="b">
        <v>0</v>
      </c>
      <c r="V3" s="13">
        <v>0</v>
      </c>
      <c r="W3" s="9"/>
      <c r="X3" s="9"/>
      <c r="Y3" s="9"/>
      <c r="Z3" s="9"/>
      <c r="AA3" s="9" t="s">
        <v>67</v>
      </c>
      <c r="AB3" s="9"/>
      <c r="AC3" s="9" t="b">
        <v>0</v>
      </c>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14"/>
    </row>
    <row r="4" spans="1:59" x14ac:dyDescent="0.2">
      <c r="A4" s="8"/>
      <c r="B4" s="9" t="s">
        <v>59</v>
      </c>
      <c r="C4" s="10" t="str">
        <f t="shared" si="0"/>
        <v>_ENGLISH_BANNER_300x50</v>
      </c>
      <c r="D4" s="11">
        <v>300</v>
      </c>
      <c r="E4" s="11">
        <v>50</v>
      </c>
      <c r="F4" s="10" t="str">
        <f t="shared" si="1"/>
        <v>_ENGLISH_BANNER_300x50.jpg</v>
      </c>
      <c r="G4" s="10" t="s">
        <v>60</v>
      </c>
      <c r="H4" s="10" t="s">
        <v>61</v>
      </c>
      <c r="I4" s="10" t="s">
        <v>62</v>
      </c>
      <c r="J4" s="10" t="s">
        <v>63</v>
      </c>
      <c r="K4" s="10"/>
      <c r="L4" s="12"/>
      <c r="M4" s="9">
        <v>9070</v>
      </c>
      <c r="N4" s="9" t="s">
        <v>64</v>
      </c>
      <c r="O4" s="9" t="s">
        <v>65</v>
      </c>
      <c r="P4" s="9" t="s">
        <v>66</v>
      </c>
      <c r="Q4" s="9"/>
      <c r="R4" s="9"/>
      <c r="S4" s="9" t="b">
        <v>1</v>
      </c>
      <c r="T4" s="9" t="b">
        <v>1</v>
      </c>
      <c r="U4" s="9" t="b">
        <v>0</v>
      </c>
      <c r="V4" s="13">
        <v>0</v>
      </c>
      <c r="W4" s="9"/>
      <c r="X4" s="9"/>
      <c r="Y4" s="9"/>
      <c r="Z4" s="9"/>
      <c r="AA4" s="9" t="s">
        <v>67</v>
      </c>
      <c r="AB4" s="9"/>
      <c r="AC4" s="9" t="b">
        <v>0</v>
      </c>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14"/>
    </row>
    <row r="5" spans="1:59" x14ac:dyDescent="0.2">
      <c r="A5" s="8"/>
      <c r="B5" s="9" t="s">
        <v>59</v>
      </c>
      <c r="C5" s="10" t="str">
        <f t="shared" si="0"/>
        <v>_ENGLISH_BANNER_300x250</v>
      </c>
      <c r="D5" s="11">
        <v>300</v>
      </c>
      <c r="E5" s="11">
        <v>250</v>
      </c>
      <c r="F5" s="10" t="str">
        <f t="shared" si="1"/>
        <v>_ENGLISH_BANNER_300x250.jpg</v>
      </c>
      <c r="G5" s="10" t="s">
        <v>60</v>
      </c>
      <c r="H5" s="10" t="s">
        <v>61</v>
      </c>
      <c r="I5" s="10" t="s">
        <v>62</v>
      </c>
      <c r="J5" s="10" t="s">
        <v>63</v>
      </c>
      <c r="K5" s="10"/>
      <c r="L5" s="12"/>
      <c r="M5" s="9">
        <v>9070</v>
      </c>
      <c r="N5" s="9" t="s">
        <v>64</v>
      </c>
      <c r="O5" s="9" t="s">
        <v>65</v>
      </c>
      <c r="P5" s="9" t="s">
        <v>66</v>
      </c>
      <c r="Q5" s="9"/>
      <c r="R5" s="9"/>
      <c r="S5" s="9" t="b">
        <v>1</v>
      </c>
      <c r="T5" s="9" t="b">
        <v>1</v>
      </c>
      <c r="U5" s="9" t="b">
        <v>0</v>
      </c>
      <c r="V5" s="13">
        <v>0</v>
      </c>
      <c r="W5" s="9"/>
      <c r="X5" s="9"/>
      <c r="Y5" s="9"/>
      <c r="Z5" s="9"/>
      <c r="AA5" s="9" t="s">
        <v>67</v>
      </c>
      <c r="AB5" s="9"/>
      <c r="AC5" s="9" t="b">
        <v>0</v>
      </c>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14"/>
    </row>
    <row r="6" spans="1:59" x14ac:dyDescent="0.2">
      <c r="A6" s="8"/>
      <c r="B6" s="9" t="s">
        <v>59</v>
      </c>
      <c r="C6" s="10" t="str">
        <f t="shared" si="0"/>
        <v>_ENGLISH_BANNER_300x600</v>
      </c>
      <c r="D6" s="11">
        <v>300</v>
      </c>
      <c r="E6" s="11">
        <v>600</v>
      </c>
      <c r="F6" s="10" t="str">
        <f t="shared" si="1"/>
        <v>_ENGLISH_BANNER_300x600.jpg</v>
      </c>
      <c r="G6" s="10" t="s">
        <v>60</v>
      </c>
      <c r="H6" s="10" t="s">
        <v>61</v>
      </c>
      <c r="I6" s="10" t="s">
        <v>62</v>
      </c>
      <c r="J6" s="10" t="s">
        <v>63</v>
      </c>
      <c r="K6" s="10"/>
      <c r="L6" s="12"/>
      <c r="M6" s="9">
        <v>9070</v>
      </c>
      <c r="N6" s="9" t="s">
        <v>64</v>
      </c>
      <c r="O6" s="9" t="s">
        <v>65</v>
      </c>
      <c r="P6" s="9" t="s">
        <v>66</v>
      </c>
      <c r="Q6" s="9"/>
      <c r="R6" s="9"/>
      <c r="S6" s="9" t="b">
        <v>1</v>
      </c>
      <c r="T6" s="9" t="b">
        <v>1</v>
      </c>
      <c r="U6" s="9" t="b">
        <v>0</v>
      </c>
      <c r="V6" s="13">
        <v>0</v>
      </c>
      <c r="W6" s="9"/>
      <c r="X6" s="9"/>
      <c r="Y6" s="9"/>
      <c r="Z6" s="9"/>
      <c r="AA6" s="9" t="s">
        <v>67</v>
      </c>
      <c r="AB6" s="9"/>
      <c r="AC6" s="9" t="b">
        <v>0</v>
      </c>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14"/>
    </row>
    <row r="7" spans="1:59" x14ac:dyDescent="0.2">
      <c r="A7" s="8"/>
      <c r="B7" s="9" t="s">
        <v>59</v>
      </c>
      <c r="C7" s="10" t="str">
        <f t="shared" si="0"/>
        <v>_ENGLISH_BANNER_320x50</v>
      </c>
      <c r="D7" s="11">
        <v>320</v>
      </c>
      <c r="E7" s="11">
        <v>50</v>
      </c>
      <c r="F7" s="10" t="str">
        <f t="shared" si="1"/>
        <v>_ENGLISH_BANNER_320x50.jpg</v>
      </c>
      <c r="G7" s="10" t="s">
        <v>60</v>
      </c>
      <c r="H7" s="10" t="s">
        <v>61</v>
      </c>
      <c r="I7" s="10" t="s">
        <v>62</v>
      </c>
      <c r="J7" s="10" t="s">
        <v>63</v>
      </c>
      <c r="K7" s="10"/>
      <c r="L7" s="12"/>
      <c r="M7" s="9">
        <v>9070</v>
      </c>
      <c r="N7" s="9" t="s">
        <v>64</v>
      </c>
      <c r="O7" s="9" t="s">
        <v>65</v>
      </c>
      <c r="P7" s="9" t="s">
        <v>66</v>
      </c>
      <c r="Q7" s="9"/>
      <c r="R7" s="9"/>
      <c r="S7" s="9" t="b">
        <v>1</v>
      </c>
      <c r="T7" s="9" t="b">
        <v>1</v>
      </c>
      <c r="U7" s="9" t="b">
        <v>0</v>
      </c>
      <c r="V7" s="13">
        <v>0</v>
      </c>
      <c r="W7" s="9"/>
      <c r="X7" s="9"/>
      <c r="Y7" s="9"/>
      <c r="Z7" s="9"/>
      <c r="AA7" s="9" t="s">
        <v>67</v>
      </c>
      <c r="AB7" s="9"/>
      <c r="AC7" s="9" t="b">
        <v>0</v>
      </c>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14"/>
    </row>
    <row r="8" spans="1:59" x14ac:dyDescent="0.2">
      <c r="A8" s="8"/>
      <c r="B8" s="9" t="s">
        <v>59</v>
      </c>
      <c r="C8" s="10" t="str">
        <f t="shared" si="0"/>
        <v>_ENGLISH_BANNER_728x90</v>
      </c>
      <c r="D8" s="11">
        <v>728</v>
      </c>
      <c r="E8" s="11">
        <v>90</v>
      </c>
      <c r="F8" s="10" t="str">
        <f t="shared" si="1"/>
        <v>_ENGLISH_BANNER_728x90.jpg</v>
      </c>
      <c r="G8" s="10" t="s">
        <v>60</v>
      </c>
      <c r="H8" s="10" t="s">
        <v>61</v>
      </c>
      <c r="I8" s="10" t="s">
        <v>62</v>
      </c>
      <c r="J8" s="10" t="s">
        <v>63</v>
      </c>
      <c r="K8" s="10"/>
      <c r="L8" s="12"/>
      <c r="M8" s="9">
        <v>9070</v>
      </c>
      <c r="N8" s="9" t="s">
        <v>64</v>
      </c>
      <c r="O8" s="9" t="s">
        <v>65</v>
      </c>
      <c r="P8" s="9" t="s">
        <v>66</v>
      </c>
      <c r="Q8" s="9"/>
      <c r="R8" s="9"/>
      <c r="S8" s="9" t="b">
        <v>1</v>
      </c>
      <c r="T8" s="9" t="b">
        <v>1</v>
      </c>
      <c r="U8" s="9" t="b">
        <v>0</v>
      </c>
      <c r="V8" s="13">
        <v>0</v>
      </c>
      <c r="W8" s="9"/>
      <c r="X8" s="9"/>
      <c r="Y8" s="9"/>
      <c r="Z8" s="9"/>
      <c r="AA8" s="9" t="s">
        <v>67</v>
      </c>
      <c r="AB8" s="9"/>
      <c r="AC8" s="9" t="b">
        <v>0</v>
      </c>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14"/>
    </row>
    <row r="9" spans="1:59" x14ac:dyDescent="0.2">
      <c r="A9" s="8"/>
      <c r="B9" s="9" t="s">
        <v>59</v>
      </c>
      <c r="C9" s="10" t="str">
        <f t="shared" si="0"/>
        <v>_ENGLISH_BANNER_970x66</v>
      </c>
      <c r="D9" s="11">
        <v>970</v>
      </c>
      <c r="E9" s="11">
        <v>66</v>
      </c>
      <c r="F9" s="10" t="str">
        <f t="shared" si="1"/>
        <v>_ENGLISH_BANNER_970x66.jpg</v>
      </c>
      <c r="G9" s="10" t="s">
        <v>60</v>
      </c>
      <c r="H9" s="10" t="s">
        <v>61</v>
      </c>
      <c r="I9" s="10" t="s">
        <v>62</v>
      </c>
      <c r="J9" s="10" t="s">
        <v>63</v>
      </c>
      <c r="K9" s="10"/>
      <c r="L9" s="12"/>
      <c r="M9" s="9">
        <v>9070</v>
      </c>
      <c r="N9" s="9" t="s">
        <v>64</v>
      </c>
      <c r="O9" s="9" t="s">
        <v>65</v>
      </c>
      <c r="P9" s="9" t="s">
        <v>66</v>
      </c>
      <c r="Q9" s="9"/>
      <c r="R9" s="9"/>
      <c r="S9" s="9" t="b">
        <v>1</v>
      </c>
      <c r="T9" s="9" t="b">
        <v>1</v>
      </c>
      <c r="U9" s="9" t="b">
        <v>0</v>
      </c>
      <c r="V9" s="13">
        <v>0</v>
      </c>
      <c r="W9" s="9"/>
      <c r="X9" s="9"/>
      <c r="Y9" s="9"/>
      <c r="Z9" s="9"/>
      <c r="AA9" s="9" t="s">
        <v>67</v>
      </c>
      <c r="AB9" s="9"/>
      <c r="AC9" s="9" t="b">
        <v>0</v>
      </c>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14"/>
    </row>
    <row r="10" spans="1:59" x14ac:dyDescent="0.2">
      <c r="A10" s="8"/>
      <c r="B10" s="9" t="s">
        <v>59</v>
      </c>
      <c r="C10" s="10" t="str">
        <f t="shared" si="0"/>
        <v>_ENGLISH_BANNER_970x90</v>
      </c>
      <c r="D10" s="11">
        <v>970</v>
      </c>
      <c r="E10" s="11">
        <v>90</v>
      </c>
      <c r="F10" s="10" t="str">
        <f t="shared" si="1"/>
        <v>_ENGLISH_BANNER_970x90.jpg</v>
      </c>
      <c r="G10" s="10" t="s">
        <v>60</v>
      </c>
      <c r="H10" s="10" t="s">
        <v>61</v>
      </c>
      <c r="I10" s="10" t="s">
        <v>62</v>
      </c>
      <c r="J10" s="10" t="s">
        <v>63</v>
      </c>
      <c r="K10" s="10"/>
      <c r="L10" s="12"/>
      <c r="M10" s="9">
        <v>9070</v>
      </c>
      <c r="N10" s="9" t="s">
        <v>64</v>
      </c>
      <c r="O10" s="9" t="s">
        <v>65</v>
      </c>
      <c r="P10" s="9" t="s">
        <v>66</v>
      </c>
      <c r="Q10" s="9"/>
      <c r="R10" s="9"/>
      <c r="S10" s="9" t="b">
        <v>1</v>
      </c>
      <c r="T10" s="9" t="b">
        <v>1</v>
      </c>
      <c r="U10" s="9" t="b">
        <v>0</v>
      </c>
      <c r="V10" s="13">
        <v>0</v>
      </c>
      <c r="W10" s="9"/>
      <c r="X10" s="9"/>
      <c r="Y10" s="9"/>
      <c r="Z10" s="9"/>
      <c r="AA10" s="9" t="s">
        <v>67</v>
      </c>
      <c r="AB10" s="9"/>
      <c r="AC10" s="9" t="b">
        <v>0</v>
      </c>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14"/>
    </row>
    <row r="11" spans="1:59" x14ac:dyDescent="0.2">
      <c r="A11" s="8"/>
      <c r="B11" s="9" t="s">
        <v>59</v>
      </c>
      <c r="C11" s="10" t="str">
        <f t="shared" si="0"/>
        <v>_ENGLISH_BANNER_970x250</v>
      </c>
      <c r="D11" s="11">
        <v>970</v>
      </c>
      <c r="E11" s="11">
        <v>250</v>
      </c>
      <c r="F11" s="10" t="str">
        <f t="shared" si="1"/>
        <v>_ENGLISH_BANNER_970x250.jpg</v>
      </c>
      <c r="G11" s="10" t="s">
        <v>60</v>
      </c>
      <c r="H11" s="10" t="s">
        <v>61</v>
      </c>
      <c r="I11" s="10" t="s">
        <v>62</v>
      </c>
      <c r="J11" s="10" t="s">
        <v>63</v>
      </c>
      <c r="K11" s="10"/>
      <c r="L11" s="12"/>
      <c r="M11" s="9">
        <v>9070</v>
      </c>
      <c r="N11" s="9" t="s">
        <v>64</v>
      </c>
      <c r="O11" s="9" t="s">
        <v>65</v>
      </c>
      <c r="P11" s="9" t="s">
        <v>66</v>
      </c>
      <c r="Q11" s="9"/>
      <c r="R11" s="9"/>
      <c r="S11" s="9" t="b">
        <v>1</v>
      </c>
      <c r="T11" s="9" t="b">
        <v>1</v>
      </c>
      <c r="U11" s="9" t="b">
        <v>0</v>
      </c>
      <c r="V11" s="13">
        <v>0</v>
      </c>
      <c r="W11" s="9"/>
      <c r="X11" s="9"/>
      <c r="Y11" s="9"/>
      <c r="Z11" s="9"/>
      <c r="AA11" s="9" t="s">
        <v>67</v>
      </c>
      <c r="AB11" s="9"/>
      <c r="AC11" s="9" t="b">
        <v>0</v>
      </c>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14"/>
    </row>
    <row r="12" spans="1:59" x14ac:dyDescent="0.2">
      <c r="A12" s="8"/>
      <c r="B12" s="9" t="s">
        <v>59</v>
      </c>
      <c r="C12" s="10" t="str">
        <f t="shared" si="0"/>
        <v>_ENGLISH_BANNER_1280x100</v>
      </c>
      <c r="D12" s="11">
        <v>1280</v>
      </c>
      <c r="E12" s="11">
        <v>100</v>
      </c>
      <c r="F12" s="10" t="str">
        <f t="shared" si="1"/>
        <v>_ENGLISH_BANNER_1280x100.jpg</v>
      </c>
      <c r="G12" s="10" t="s">
        <v>60</v>
      </c>
      <c r="H12" s="10" t="s">
        <v>61</v>
      </c>
      <c r="I12" s="10" t="s">
        <v>62</v>
      </c>
      <c r="J12" s="10" t="s">
        <v>63</v>
      </c>
      <c r="K12" s="10"/>
      <c r="L12" s="12"/>
      <c r="M12" s="9">
        <v>9070</v>
      </c>
      <c r="N12" s="9" t="s">
        <v>64</v>
      </c>
      <c r="O12" s="9" t="s">
        <v>65</v>
      </c>
      <c r="P12" s="9" t="s">
        <v>66</v>
      </c>
      <c r="Q12" s="9"/>
      <c r="R12" s="9"/>
      <c r="S12" s="9" t="b">
        <v>1</v>
      </c>
      <c r="T12" s="9" t="b">
        <v>1</v>
      </c>
      <c r="U12" s="9" t="b">
        <v>0</v>
      </c>
      <c r="V12" s="13">
        <v>0</v>
      </c>
      <c r="W12" s="9"/>
      <c r="X12" s="9"/>
      <c r="Y12" s="9"/>
      <c r="Z12" s="9"/>
      <c r="AA12" s="9" t="s">
        <v>67</v>
      </c>
      <c r="AB12" s="9"/>
      <c r="AC12" s="9" t="b">
        <v>0</v>
      </c>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14"/>
    </row>
    <row r="13" spans="1:59" x14ac:dyDescent="0.2">
      <c r="A13" s="15"/>
      <c r="B13" s="16" t="s">
        <v>68</v>
      </c>
      <c r="C13" s="10" t="str">
        <f t="shared" si="0"/>
        <v>_ENGLISH_VIDEO_1080x1080_15</v>
      </c>
      <c r="D13" s="17">
        <v>1080</v>
      </c>
      <c r="E13" s="1" t="s">
        <v>73</v>
      </c>
      <c r="F13" s="10" t="str">
        <f>C13&amp;".mp4"</f>
        <v>_ENGLISH_VIDEO_1080x1080_15.mp4</v>
      </c>
      <c r="G13" s="10" t="s">
        <v>60</v>
      </c>
      <c r="H13" s="10" t="s">
        <v>61</v>
      </c>
      <c r="I13" s="10" t="s">
        <v>62</v>
      </c>
      <c r="J13" s="10" t="s">
        <v>63</v>
      </c>
      <c r="K13" s="10"/>
      <c r="L13" s="12"/>
      <c r="M13" s="16">
        <v>9070</v>
      </c>
      <c r="N13" s="16" t="s">
        <v>64</v>
      </c>
      <c r="O13" s="16" t="s">
        <v>65</v>
      </c>
      <c r="P13" s="16" t="s">
        <v>66</v>
      </c>
      <c r="Q13" s="16"/>
      <c r="R13" s="16"/>
      <c r="S13" s="16" t="b">
        <v>1</v>
      </c>
      <c r="T13" s="16" t="b">
        <v>1</v>
      </c>
      <c r="U13" s="18" t="b">
        <v>0</v>
      </c>
      <c r="V13" s="19">
        <v>0</v>
      </c>
      <c r="W13" s="16"/>
      <c r="X13" s="16"/>
      <c r="Y13" s="16"/>
      <c r="Z13" s="16"/>
      <c r="AA13" s="16" t="s">
        <v>67</v>
      </c>
      <c r="AB13" s="16"/>
      <c r="AC13" s="16" t="b">
        <v>0</v>
      </c>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20"/>
    </row>
    <row r="14" spans="1:59" x14ac:dyDescent="0.2">
      <c r="A14" s="15"/>
      <c r="B14" s="16" t="s">
        <v>68</v>
      </c>
      <c r="C14" s="10" t="str">
        <f t="shared" si="0"/>
        <v>_ENGLISH_VIDEO_1080x1920_15</v>
      </c>
      <c r="D14" s="17">
        <v>1080</v>
      </c>
      <c r="E14" s="1" t="s">
        <v>74</v>
      </c>
      <c r="F14" s="10" t="str">
        <f t="shared" ref="F14:F18" si="2">C14&amp;".mp4"</f>
        <v>_ENGLISH_VIDEO_1080x1920_15.mp4</v>
      </c>
      <c r="G14" s="10" t="s">
        <v>60</v>
      </c>
      <c r="H14" s="10" t="s">
        <v>61</v>
      </c>
      <c r="I14" s="10" t="s">
        <v>62</v>
      </c>
      <c r="J14" s="10" t="s">
        <v>63</v>
      </c>
      <c r="K14" s="10"/>
      <c r="L14" s="12"/>
      <c r="M14" s="16">
        <v>9070</v>
      </c>
      <c r="N14" s="16" t="s">
        <v>64</v>
      </c>
      <c r="O14" s="16" t="s">
        <v>65</v>
      </c>
      <c r="P14" s="16" t="s">
        <v>66</v>
      </c>
      <c r="Q14" s="16"/>
      <c r="R14" s="16"/>
      <c r="S14" s="16" t="b">
        <v>1</v>
      </c>
      <c r="T14" s="16" t="b">
        <v>1</v>
      </c>
      <c r="U14" s="18" t="b">
        <v>0</v>
      </c>
      <c r="V14" s="19">
        <v>0</v>
      </c>
      <c r="W14" s="16"/>
      <c r="X14" s="16"/>
      <c r="Y14" s="16"/>
      <c r="Z14" s="16"/>
      <c r="AA14" s="16" t="s">
        <v>67</v>
      </c>
      <c r="AB14" s="16"/>
      <c r="AC14" s="16" t="b">
        <v>0</v>
      </c>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20"/>
    </row>
    <row r="15" spans="1:59" x14ac:dyDescent="0.2">
      <c r="A15" s="15"/>
      <c r="B15" s="16" t="s">
        <v>68</v>
      </c>
      <c r="C15" s="10" t="str">
        <f t="shared" si="0"/>
        <v>_ENGLISH_VIDEO_1920x1080_15</v>
      </c>
      <c r="D15" s="17">
        <v>1920</v>
      </c>
      <c r="E15" s="1" t="s">
        <v>73</v>
      </c>
      <c r="F15" s="10" t="str">
        <f t="shared" si="2"/>
        <v>_ENGLISH_VIDEO_1920x1080_15.mp4</v>
      </c>
      <c r="G15" s="10" t="s">
        <v>60</v>
      </c>
      <c r="H15" s="10" t="s">
        <v>61</v>
      </c>
      <c r="I15" s="10" t="s">
        <v>62</v>
      </c>
      <c r="J15" s="10" t="s">
        <v>63</v>
      </c>
      <c r="K15" s="10"/>
      <c r="L15" s="12"/>
      <c r="M15" s="16">
        <v>9070</v>
      </c>
      <c r="N15" s="16" t="s">
        <v>64</v>
      </c>
      <c r="O15" s="16" t="s">
        <v>65</v>
      </c>
      <c r="P15" s="16" t="s">
        <v>66</v>
      </c>
      <c r="Q15" s="16"/>
      <c r="R15" s="16"/>
      <c r="S15" s="16" t="b">
        <v>1</v>
      </c>
      <c r="T15" s="16" t="b">
        <v>1</v>
      </c>
      <c r="U15" s="18" t="b">
        <v>0</v>
      </c>
      <c r="V15" s="19">
        <v>0</v>
      </c>
      <c r="W15" s="16"/>
      <c r="X15" s="16"/>
      <c r="Y15" s="16"/>
      <c r="Z15" s="16"/>
      <c r="AA15" s="16" t="s">
        <v>67</v>
      </c>
      <c r="AB15" s="16"/>
      <c r="AC15" s="16" t="b">
        <v>0</v>
      </c>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20"/>
    </row>
    <row r="16" spans="1:59" x14ac:dyDescent="0.2">
      <c r="A16" s="15"/>
      <c r="B16" s="16" t="s">
        <v>68</v>
      </c>
      <c r="C16" s="10" t="str">
        <f t="shared" si="0"/>
        <v>_ENGLISH_VIDEO_1080x1080_30</v>
      </c>
      <c r="D16" s="17">
        <v>1080</v>
      </c>
      <c r="E16" s="1" t="s">
        <v>75</v>
      </c>
      <c r="F16" s="10" t="str">
        <f t="shared" si="2"/>
        <v>_ENGLISH_VIDEO_1080x1080_30.mp4</v>
      </c>
      <c r="G16" s="10" t="s">
        <v>60</v>
      </c>
      <c r="H16" s="10" t="s">
        <v>61</v>
      </c>
      <c r="I16" s="10" t="s">
        <v>62</v>
      </c>
      <c r="J16" s="10" t="s">
        <v>63</v>
      </c>
      <c r="K16" s="10"/>
      <c r="L16" s="12"/>
      <c r="M16" s="16">
        <v>9070</v>
      </c>
      <c r="N16" s="16" t="s">
        <v>64</v>
      </c>
      <c r="O16" s="16" t="s">
        <v>65</v>
      </c>
      <c r="P16" s="16" t="s">
        <v>66</v>
      </c>
      <c r="Q16" s="16"/>
      <c r="R16" s="16"/>
      <c r="S16" s="16" t="b">
        <v>1</v>
      </c>
      <c r="T16" s="16" t="b">
        <v>1</v>
      </c>
      <c r="U16" s="18" t="b">
        <v>0</v>
      </c>
      <c r="V16" s="19">
        <v>0</v>
      </c>
      <c r="W16" s="16"/>
      <c r="X16" s="16"/>
      <c r="Y16" s="16"/>
      <c r="Z16" s="16"/>
      <c r="AA16" s="16" t="s">
        <v>67</v>
      </c>
      <c r="AB16" s="16"/>
      <c r="AC16" s="16" t="b">
        <v>0</v>
      </c>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20"/>
    </row>
    <row r="17" spans="1:59" x14ac:dyDescent="0.2">
      <c r="A17" s="15"/>
      <c r="B17" s="16" t="s">
        <v>68</v>
      </c>
      <c r="C17" s="10" t="str">
        <f t="shared" si="0"/>
        <v>_ENGLISH_VIDEO_1080x1920_30</v>
      </c>
      <c r="D17" s="17">
        <v>1080</v>
      </c>
      <c r="E17" s="1" t="s">
        <v>76</v>
      </c>
      <c r="F17" s="10" t="str">
        <f t="shared" si="2"/>
        <v>_ENGLISH_VIDEO_1080x1920_30.mp4</v>
      </c>
      <c r="G17" s="10" t="s">
        <v>60</v>
      </c>
      <c r="H17" s="10" t="s">
        <v>61</v>
      </c>
      <c r="I17" s="10" t="s">
        <v>62</v>
      </c>
      <c r="J17" s="10" t="s">
        <v>63</v>
      </c>
      <c r="K17" s="10"/>
      <c r="L17" s="12"/>
      <c r="M17" s="16">
        <v>9070</v>
      </c>
      <c r="N17" s="16" t="s">
        <v>64</v>
      </c>
      <c r="O17" s="16" t="s">
        <v>65</v>
      </c>
      <c r="P17" s="16" t="s">
        <v>66</v>
      </c>
      <c r="Q17" s="16"/>
      <c r="R17" s="16"/>
      <c r="S17" s="16" t="b">
        <v>1</v>
      </c>
      <c r="T17" s="16" t="b">
        <v>1</v>
      </c>
      <c r="U17" s="18" t="b">
        <v>0</v>
      </c>
      <c r="V17" s="19">
        <v>0</v>
      </c>
      <c r="W17" s="16"/>
      <c r="X17" s="16"/>
      <c r="Y17" s="16"/>
      <c r="Z17" s="16"/>
      <c r="AA17" s="16" t="s">
        <v>67</v>
      </c>
      <c r="AB17" s="16"/>
      <c r="AC17" s="16" t="b">
        <v>0</v>
      </c>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20"/>
    </row>
    <row r="18" spans="1:59" x14ac:dyDescent="0.2">
      <c r="A18" s="15"/>
      <c r="B18" s="16" t="s">
        <v>68</v>
      </c>
      <c r="C18" s="10" t="str">
        <f t="shared" si="0"/>
        <v>_ENGLISH_VIDEO_1920x1080_:30</v>
      </c>
      <c r="D18" s="17">
        <v>1920</v>
      </c>
      <c r="E18" s="1" t="s">
        <v>69</v>
      </c>
      <c r="F18" s="10" t="str">
        <f t="shared" si="2"/>
        <v>_ENGLISH_VIDEO_1920x1080_:30.mp4</v>
      </c>
      <c r="G18" s="10" t="s">
        <v>60</v>
      </c>
      <c r="H18" s="10" t="s">
        <v>61</v>
      </c>
      <c r="I18" s="10" t="s">
        <v>62</v>
      </c>
      <c r="J18" s="10" t="s">
        <v>63</v>
      </c>
      <c r="K18" s="10"/>
      <c r="L18" s="12"/>
      <c r="M18" s="16">
        <v>9070</v>
      </c>
      <c r="N18" s="16" t="s">
        <v>64</v>
      </c>
      <c r="O18" s="16" t="s">
        <v>65</v>
      </c>
      <c r="P18" s="16" t="s">
        <v>66</v>
      </c>
      <c r="Q18" s="16"/>
      <c r="R18" s="16"/>
      <c r="S18" s="16" t="b">
        <v>1</v>
      </c>
      <c r="T18" s="16" t="b">
        <v>1</v>
      </c>
      <c r="U18" s="18" t="b">
        <v>0</v>
      </c>
      <c r="V18" s="19">
        <v>0</v>
      </c>
      <c r="W18" s="16"/>
      <c r="X18" s="16"/>
      <c r="Y18" s="16"/>
      <c r="Z18" s="16"/>
      <c r="AA18" s="16" t="s">
        <v>67</v>
      </c>
      <c r="AB18" s="16"/>
      <c r="AC18" s="16" t="b">
        <v>0</v>
      </c>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20"/>
    </row>
    <row r="19" spans="1:59" x14ac:dyDescent="0.2">
      <c r="A19" s="21"/>
      <c r="B19" s="22" t="s">
        <v>70</v>
      </c>
      <c r="C19" s="10"/>
      <c r="D19" s="23"/>
      <c r="E19" s="23"/>
      <c r="F19" s="10">
        <f>C19</f>
        <v>0</v>
      </c>
      <c r="G19" s="10" t="s">
        <v>60</v>
      </c>
      <c r="H19" s="10" t="s">
        <v>61</v>
      </c>
      <c r="I19" s="10" t="s">
        <v>62</v>
      </c>
      <c r="J19" s="10" t="s">
        <v>63</v>
      </c>
      <c r="K19" s="10" t="s">
        <v>72</v>
      </c>
      <c r="L19" s="10" t="s">
        <v>71</v>
      </c>
      <c r="M19" s="22">
        <v>9070</v>
      </c>
      <c r="N19" s="22" t="s">
        <v>64</v>
      </c>
      <c r="O19" s="22" t="s">
        <v>65</v>
      </c>
      <c r="P19" s="22" t="s">
        <v>66</v>
      </c>
      <c r="Q19" s="22"/>
      <c r="R19" s="22"/>
      <c r="S19" s="22" t="b">
        <v>1</v>
      </c>
      <c r="T19" s="22" t="b">
        <v>1</v>
      </c>
      <c r="U19" s="22" t="b">
        <v>0</v>
      </c>
      <c r="V19" s="24">
        <v>0</v>
      </c>
      <c r="W19" s="22"/>
      <c r="X19" s="22"/>
      <c r="Y19" s="22"/>
      <c r="Z19" s="22"/>
      <c r="AA19" s="22" t="s">
        <v>67</v>
      </c>
      <c r="AB19" s="22"/>
      <c r="AC19" s="22" t="b">
        <v>0</v>
      </c>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5"/>
    </row>
  </sheetData>
  <dataValidations count="2">
    <dataValidation type="list" allowBlank="1" showInputMessage="1" showErrorMessage="1" sqref="B2:B19" xr:uid="{85229908-7C03-2840-AC12-5BBC82B87000}">
      <formula1>"BANNER,TEXT_LINK,VIDEO"</formula1>
    </dataValidation>
    <dataValidation type="list" allowBlank="1" showInputMessage="1" showErrorMessage="1" sqref="J2:J19" xr:uid="{74B8ABFB-D443-E840-B47A-7FEB43DCB2E6}">
      <formula1>"ENGLISH,SPANISH,"</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322">
              <controlPr defaultSize="0" print="0" uiObject="1" autoLine="0" autoPict="0">
                <anchor sizeWithCells="1">
                  <from>
                    <xdr:col>0</xdr:col>
                    <xdr:colOff>0</xdr:colOff>
                    <xdr:row>0</xdr:row>
                    <xdr:rowOff>0</xdr:rowOff>
                  </from>
                  <to>
                    <xdr:col>1</xdr:col>
                    <xdr:colOff>0</xdr:colOff>
                    <xdr:row>1</xdr:row>
                    <xdr:rowOff>127000</xdr:rowOff>
                  </to>
                </anchor>
              </controlPr>
            </control>
          </mc:Choice>
        </mc:AlternateContent>
        <mc:AlternateContent xmlns:mc="http://schemas.openxmlformats.org/markup-compatibility/2006">
          <mc:Choice Requires="x14">
            <control shapeId="1026" r:id="rId4" name="Drop Down 323">
              <controlPr defaultSize="0" print="0" uiObject="1" autoLine="0" autoPict="0">
                <anchor sizeWithCells="1">
                  <from>
                    <xdr:col>25</xdr:col>
                    <xdr:colOff>0</xdr:colOff>
                    <xdr:row>2</xdr:row>
                    <xdr:rowOff>0</xdr:rowOff>
                  </from>
                  <to>
                    <xdr:col>25</xdr:col>
                    <xdr:colOff>12700</xdr:colOff>
                    <xdr:row>3</xdr:row>
                    <xdr:rowOff>127000</xdr:rowOff>
                  </to>
                </anchor>
              </controlPr>
            </control>
          </mc:Choice>
        </mc:AlternateContent>
        <mc:AlternateContent xmlns:mc="http://schemas.openxmlformats.org/markup-compatibility/2006">
          <mc:Choice Requires="x14">
            <control shapeId="1027" r:id="rId5" name="Drop Down 324">
              <controlPr defaultSize="0" print="0" uiObject="1" autoLine="0" autoPict="0">
                <anchor sizeWithCells="1">
                  <from>
                    <xdr:col>25</xdr:col>
                    <xdr:colOff>0</xdr:colOff>
                    <xdr:row>7</xdr:row>
                    <xdr:rowOff>0</xdr:rowOff>
                  </from>
                  <to>
                    <xdr:col>25</xdr:col>
                    <xdr:colOff>12700</xdr:colOff>
                    <xdr:row>8</xdr:row>
                    <xdr:rowOff>127000</xdr:rowOff>
                  </to>
                </anchor>
              </controlPr>
            </control>
          </mc:Choice>
        </mc:AlternateContent>
        <mc:AlternateContent xmlns:mc="http://schemas.openxmlformats.org/markup-compatibility/2006">
          <mc:Choice Requires="x14">
            <control shapeId="1028" r:id="rId6" name="Drop Down 325">
              <controlPr defaultSize="0" print="0" uiObject="1" autoLine="0" autoPict="0">
                <anchor sizeWithCells="1">
                  <from>
                    <xdr:col>25</xdr:col>
                    <xdr:colOff>0</xdr:colOff>
                    <xdr:row>1</xdr:row>
                    <xdr:rowOff>0</xdr:rowOff>
                  </from>
                  <to>
                    <xdr:col>25</xdr:col>
                    <xdr:colOff>12700</xdr:colOff>
                    <xdr:row>2</xdr:row>
                    <xdr:rowOff>127000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2021-11-16T17:11:50Z</dcterms:created>
  <dcterms:modified xsi:type="dcterms:W3CDTF">2022-05-10T16:36:14Z</dcterms:modified>
</cp:coreProperties>
</file>